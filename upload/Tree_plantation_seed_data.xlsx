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D847B5CA-9F91-1041-8A4D-8F56A307280A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Dashboard" sheetId="1" r:id="rId1"/>
    <sheet name="App_Entry" sheetId="2" r:id="rId2"/>
    <sheet name="User_Profile" sheetId="3" r:id="rId3"/>
    <sheet name="Field_Staff" sheetId="4" r:id="rId4"/>
    <sheet name="17 column report" sheetId="5" r:id="rId5"/>
    <sheet name="process_data" sheetId="6" r:id="rId6"/>
    <sheet name="process" sheetId="7" r:id="rId7"/>
    <sheet name="ministry_report" sheetId="8" r:id="rId8"/>
    <sheet name="ministry report" sheetId="9" r:id="rId9"/>
    <sheet name="ইমেইল নির্দেশনা" sheetId="10" r:id="rId10"/>
    <sheet name="GPS_Coordinates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PvmicAoOXR3p4/dHch4YsNtWv3jAMdwjMBPWP2Zihs="/>
    </ext>
  </extLst>
</workbook>
</file>

<file path=xl/calcChain.xml><?xml version="1.0" encoding="utf-8"?>
<calcChain xmlns="http://schemas.openxmlformats.org/spreadsheetml/2006/main">
  <c r="A239" i="9" l="1"/>
  <c r="H238" i="9"/>
  <c r="G238" i="9"/>
  <c r="F238" i="9"/>
  <c r="E238" i="9"/>
  <c r="D238" i="9"/>
  <c r="C238" i="9"/>
  <c r="B238" i="9"/>
  <c r="A238" i="9"/>
  <c r="H237" i="9"/>
  <c r="G237" i="9"/>
  <c r="F237" i="9"/>
  <c r="E237" i="9"/>
  <c r="D237" i="9"/>
  <c r="C237" i="9"/>
  <c r="B237" i="9"/>
  <c r="A237" i="9"/>
  <c r="H236" i="9"/>
  <c r="G236" i="9"/>
  <c r="F236" i="9"/>
  <c r="E236" i="9"/>
  <c r="D236" i="9"/>
  <c r="C236" i="9"/>
  <c r="B236" i="9"/>
  <c r="A236" i="9"/>
  <c r="H235" i="9"/>
  <c r="G235" i="9"/>
  <c r="F235" i="9"/>
  <c r="E235" i="9"/>
  <c r="D235" i="9"/>
  <c r="C235" i="9"/>
  <c r="B235" i="9"/>
  <c r="A235" i="9"/>
  <c r="H234" i="9"/>
  <c r="G234" i="9"/>
  <c r="F234" i="9"/>
  <c r="E234" i="9"/>
  <c r="D234" i="9"/>
  <c r="C234" i="9"/>
  <c r="B234" i="9"/>
  <c r="A234" i="9"/>
  <c r="H233" i="9"/>
  <c r="G233" i="9"/>
  <c r="F233" i="9"/>
  <c r="E233" i="9"/>
  <c r="D233" i="9"/>
  <c r="C233" i="9"/>
  <c r="B233" i="9"/>
  <c r="A233" i="9"/>
  <c r="H232" i="9"/>
  <c r="G232" i="9"/>
  <c r="F232" i="9"/>
  <c r="E232" i="9"/>
  <c r="D232" i="9"/>
  <c r="C232" i="9"/>
  <c r="B232" i="9"/>
  <c r="A232" i="9"/>
  <c r="H231" i="9"/>
  <c r="G231" i="9"/>
  <c r="F231" i="9"/>
  <c r="E231" i="9"/>
  <c r="D231" i="9"/>
  <c r="C231" i="9"/>
  <c r="B231" i="9"/>
  <c r="A231" i="9"/>
  <c r="H230" i="9"/>
  <c r="G230" i="9"/>
  <c r="F230" i="9"/>
  <c r="E230" i="9"/>
  <c r="D230" i="9"/>
  <c r="C230" i="9"/>
  <c r="B230" i="9"/>
  <c r="A230" i="9"/>
  <c r="H229" i="9"/>
  <c r="G229" i="9"/>
  <c r="F229" i="9"/>
  <c r="E229" i="9"/>
  <c r="D229" i="9"/>
  <c r="C229" i="9"/>
  <c r="B229" i="9"/>
  <c r="A229" i="9"/>
  <c r="H228" i="9"/>
  <c r="G228" i="9"/>
  <c r="F228" i="9"/>
  <c r="E228" i="9"/>
  <c r="D228" i="9"/>
  <c r="C228" i="9"/>
  <c r="B228" i="9"/>
  <c r="A228" i="9"/>
  <c r="H227" i="9"/>
  <c r="G227" i="9"/>
  <c r="F227" i="9"/>
  <c r="E227" i="9"/>
  <c r="D227" i="9"/>
  <c r="C227" i="9"/>
  <c r="B227" i="9"/>
  <c r="A227" i="9"/>
  <c r="H226" i="9"/>
  <c r="G226" i="9"/>
  <c r="F226" i="9"/>
  <c r="E226" i="9"/>
  <c r="D226" i="9"/>
  <c r="C226" i="9"/>
  <c r="B226" i="9"/>
  <c r="A226" i="9"/>
  <c r="H225" i="9"/>
  <c r="G225" i="9"/>
  <c r="F225" i="9"/>
  <c r="E225" i="9"/>
  <c r="D225" i="9"/>
  <c r="C225" i="9"/>
  <c r="B225" i="9"/>
  <c r="A225" i="9"/>
  <c r="H224" i="9"/>
  <c r="G224" i="9"/>
  <c r="F224" i="9"/>
  <c r="E224" i="9"/>
  <c r="D224" i="9"/>
  <c r="C224" i="9"/>
  <c r="B224" i="9"/>
  <c r="A224" i="9"/>
  <c r="H223" i="9"/>
  <c r="G223" i="9"/>
  <c r="F223" i="9"/>
  <c r="E223" i="9"/>
  <c r="D223" i="9"/>
  <c r="C223" i="9"/>
  <c r="B223" i="9"/>
  <c r="A223" i="9"/>
  <c r="H222" i="9"/>
  <c r="G222" i="9"/>
  <c r="F222" i="9"/>
  <c r="E222" i="9"/>
  <c r="D222" i="9"/>
  <c r="C222" i="9"/>
  <c r="B222" i="9"/>
  <c r="A222" i="9"/>
  <c r="H221" i="9"/>
  <c r="G221" i="9"/>
  <c r="F221" i="9"/>
  <c r="E221" i="9"/>
  <c r="D221" i="9"/>
  <c r="C221" i="9"/>
  <c r="B221" i="9"/>
  <c r="A221" i="9"/>
  <c r="H220" i="9"/>
  <c r="G220" i="9"/>
  <c r="F220" i="9"/>
  <c r="E220" i="9"/>
  <c r="D220" i="9"/>
  <c r="C220" i="9"/>
  <c r="B220" i="9"/>
  <c r="A220" i="9"/>
  <c r="H219" i="9"/>
  <c r="G219" i="9"/>
  <c r="F219" i="9"/>
  <c r="E219" i="9"/>
  <c r="D219" i="9"/>
  <c r="C219" i="9"/>
  <c r="B219" i="9"/>
  <c r="A219" i="9"/>
  <c r="H218" i="9"/>
  <c r="G218" i="9"/>
  <c r="F218" i="9"/>
  <c r="E218" i="9"/>
  <c r="D218" i="9"/>
  <c r="C218" i="9"/>
  <c r="B218" i="9"/>
  <c r="A218" i="9"/>
  <c r="H217" i="9"/>
  <c r="G217" i="9"/>
  <c r="F217" i="9"/>
  <c r="E217" i="9"/>
  <c r="D217" i="9"/>
  <c r="C217" i="9"/>
  <c r="B217" i="9"/>
  <c r="A217" i="9"/>
  <c r="H216" i="9"/>
  <c r="G216" i="9"/>
  <c r="F216" i="9"/>
  <c r="E216" i="9"/>
  <c r="D216" i="9"/>
  <c r="C216" i="9"/>
  <c r="B216" i="9"/>
  <c r="A216" i="9"/>
  <c r="H215" i="9"/>
  <c r="G215" i="9"/>
  <c r="F215" i="9"/>
  <c r="E215" i="9"/>
  <c r="D215" i="9"/>
  <c r="C215" i="9"/>
  <c r="B215" i="9"/>
  <c r="A215" i="9"/>
  <c r="H214" i="9"/>
  <c r="G214" i="9"/>
  <c r="F214" i="9"/>
  <c r="E214" i="9"/>
  <c r="D214" i="9"/>
  <c r="C214" i="9"/>
  <c r="B214" i="9"/>
  <c r="A214" i="9"/>
  <c r="H213" i="9"/>
  <c r="G213" i="9"/>
  <c r="F213" i="9"/>
  <c r="E213" i="9"/>
  <c r="D213" i="9"/>
  <c r="C213" i="9"/>
  <c r="B213" i="9"/>
  <c r="A213" i="9"/>
  <c r="A212" i="9"/>
  <c r="H211" i="9"/>
  <c r="G211" i="9"/>
  <c r="F211" i="9"/>
  <c r="E211" i="9"/>
  <c r="D211" i="9"/>
  <c r="C211" i="9"/>
  <c r="B211" i="9"/>
  <c r="A211" i="9"/>
  <c r="H210" i="9"/>
  <c r="G210" i="9"/>
  <c r="F210" i="9"/>
  <c r="E210" i="9"/>
  <c r="D210" i="9"/>
  <c r="C210" i="9"/>
  <c r="B210" i="9"/>
  <c r="A210" i="9"/>
  <c r="H209" i="9"/>
  <c r="G209" i="9"/>
  <c r="F209" i="9"/>
  <c r="E209" i="9"/>
  <c r="D209" i="9"/>
  <c r="C209" i="9"/>
  <c r="B209" i="9"/>
  <c r="A209" i="9"/>
  <c r="H208" i="9"/>
  <c r="G208" i="9"/>
  <c r="F208" i="9"/>
  <c r="E208" i="9"/>
  <c r="D208" i="9"/>
  <c r="C208" i="9"/>
  <c r="B208" i="9"/>
  <c r="A208" i="9"/>
  <c r="H207" i="9"/>
  <c r="G207" i="9"/>
  <c r="F207" i="9"/>
  <c r="E207" i="9"/>
  <c r="D207" i="9"/>
  <c r="C207" i="9"/>
  <c r="B207" i="9"/>
  <c r="A207" i="9"/>
  <c r="H206" i="9"/>
  <c r="G206" i="9"/>
  <c r="F206" i="9"/>
  <c r="E206" i="9"/>
  <c r="D206" i="9"/>
  <c r="C206" i="9"/>
  <c r="B206" i="9"/>
  <c r="A206" i="9"/>
  <c r="H205" i="9"/>
  <c r="G205" i="9"/>
  <c r="F205" i="9"/>
  <c r="E205" i="9"/>
  <c r="D205" i="9"/>
  <c r="C205" i="9"/>
  <c r="B205" i="9"/>
  <c r="A205" i="9"/>
  <c r="H204" i="9"/>
  <c r="G204" i="9"/>
  <c r="F204" i="9"/>
  <c r="E204" i="9"/>
  <c r="D204" i="9"/>
  <c r="C204" i="9"/>
  <c r="B204" i="9"/>
  <c r="A204" i="9"/>
  <c r="H203" i="9"/>
  <c r="G203" i="9"/>
  <c r="F203" i="9"/>
  <c r="E203" i="9"/>
  <c r="D203" i="9"/>
  <c r="C203" i="9"/>
  <c r="B203" i="9"/>
  <c r="A203" i="9"/>
  <c r="H202" i="9"/>
  <c r="G202" i="9"/>
  <c r="F202" i="9"/>
  <c r="E202" i="9"/>
  <c r="D202" i="9"/>
  <c r="C202" i="9"/>
  <c r="B202" i="9"/>
  <c r="A202" i="9"/>
  <c r="H201" i="9"/>
  <c r="G201" i="9"/>
  <c r="F201" i="9"/>
  <c r="E201" i="9"/>
  <c r="D201" i="9"/>
  <c r="C201" i="9"/>
  <c r="B201" i="9"/>
  <c r="A201" i="9"/>
  <c r="H200" i="9"/>
  <c r="G200" i="9"/>
  <c r="F200" i="9"/>
  <c r="E200" i="9"/>
  <c r="D200" i="9"/>
  <c r="C200" i="9"/>
  <c r="B200" i="9"/>
  <c r="A200" i="9"/>
  <c r="H199" i="9"/>
  <c r="G199" i="9"/>
  <c r="F199" i="9"/>
  <c r="E199" i="9"/>
  <c r="D199" i="9"/>
  <c r="C199" i="9"/>
  <c r="B199" i="9"/>
  <c r="A199" i="9"/>
  <c r="H198" i="9"/>
  <c r="G198" i="9"/>
  <c r="F198" i="9"/>
  <c r="E198" i="9"/>
  <c r="D198" i="9"/>
  <c r="C198" i="9"/>
  <c r="B198" i="9"/>
  <c r="A198" i="9"/>
  <c r="H197" i="9"/>
  <c r="G197" i="9"/>
  <c r="F197" i="9"/>
  <c r="E197" i="9"/>
  <c r="D197" i="9"/>
  <c r="C197" i="9"/>
  <c r="B197" i="9"/>
  <c r="A197" i="9"/>
  <c r="H196" i="9"/>
  <c r="G196" i="9"/>
  <c r="F196" i="9"/>
  <c r="E196" i="9"/>
  <c r="D196" i="9"/>
  <c r="C196" i="9"/>
  <c r="B196" i="9"/>
  <c r="A196" i="9"/>
  <c r="H195" i="9"/>
  <c r="G195" i="9"/>
  <c r="F195" i="9"/>
  <c r="E195" i="9"/>
  <c r="D195" i="9"/>
  <c r="C195" i="9"/>
  <c r="B195" i="9"/>
  <c r="A195" i="9"/>
  <c r="H194" i="9"/>
  <c r="G194" i="9"/>
  <c r="F194" i="9"/>
  <c r="E194" i="9"/>
  <c r="D194" i="9"/>
  <c r="C194" i="9"/>
  <c r="B194" i="9"/>
  <c r="A194" i="9"/>
  <c r="H193" i="9"/>
  <c r="G193" i="9"/>
  <c r="F193" i="9"/>
  <c r="E193" i="9"/>
  <c r="D193" i="9"/>
  <c r="C193" i="9"/>
  <c r="B193" i="9"/>
  <c r="A193" i="9"/>
  <c r="H192" i="9"/>
  <c r="G192" i="9"/>
  <c r="F192" i="9"/>
  <c r="E192" i="9"/>
  <c r="D192" i="9"/>
  <c r="C192" i="9"/>
  <c r="B192" i="9"/>
  <c r="A192" i="9"/>
  <c r="H191" i="9"/>
  <c r="G191" i="9"/>
  <c r="F191" i="9"/>
  <c r="E191" i="9"/>
  <c r="D191" i="9"/>
  <c r="C191" i="9"/>
  <c r="B191" i="9"/>
  <c r="A191" i="9"/>
  <c r="H190" i="9"/>
  <c r="G190" i="9"/>
  <c r="F190" i="9"/>
  <c r="E190" i="9"/>
  <c r="D190" i="9"/>
  <c r="C190" i="9"/>
  <c r="B190" i="9"/>
  <c r="A190" i="9"/>
  <c r="H189" i="9"/>
  <c r="G189" i="9"/>
  <c r="F189" i="9"/>
  <c r="E189" i="9"/>
  <c r="D189" i="9"/>
  <c r="C189" i="9"/>
  <c r="B189" i="9"/>
  <c r="A189" i="9"/>
  <c r="H188" i="9"/>
  <c r="G188" i="9"/>
  <c r="F188" i="9"/>
  <c r="E188" i="9"/>
  <c r="D188" i="9"/>
  <c r="C188" i="9"/>
  <c r="B188" i="9"/>
  <c r="A188" i="9"/>
  <c r="H187" i="9"/>
  <c r="G187" i="9"/>
  <c r="F187" i="9"/>
  <c r="E187" i="9"/>
  <c r="D187" i="9"/>
  <c r="C187" i="9"/>
  <c r="B187" i="9"/>
  <c r="A187" i="9"/>
  <c r="H186" i="9"/>
  <c r="G186" i="9"/>
  <c r="F186" i="9"/>
  <c r="E186" i="9"/>
  <c r="D186" i="9"/>
  <c r="C186" i="9"/>
  <c r="B186" i="9"/>
  <c r="A186" i="9"/>
  <c r="H185" i="9"/>
  <c r="G185" i="9"/>
  <c r="F185" i="9"/>
  <c r="E185" i="9"/>
  <c r="D185" i="9"/>
  <c r="C185" i="9"/>
  <c r="B185" i="9"/>
  <c r="A185" i="9"/>
  <c r="H184" i="9"/>
  <c r="G184" i="9"/>
  <c r="F184" i="9"/>
  <c r="E184" i="9"/>
  <c r="D184" i="9"/>
  <c r="C184" i="9"/>
  <c r="B184" i="9"/>
  <c r="A184" i="9"/>
  <c r="H183" i="9"/>
  <c r="G183" i="9"/>
  <c r="F183" i="9"/>
  <c r="E183" i="9"/>
  <c r="D183" i="9"/>
  <c r="C183" i="9"/>
  <c r="B183" i="9"/>
  <c r="A183" i="9"/>
  <c r="H182" i="9"/>
  <c r="G182" i="9"/>
  <c r="F182" i="9"/>
  <c r="E182" i="9"/>
  <c r="D182" i="9"/>
  <c r="C182" i="9"/>
  <c r="B182" i="9"/>
  <c r="A182" i="9"/>
  <c r="H181" i="9"/>
  <c r="G181" i="9"/>
  <c r="F181" i="9"/>
  <c r="E181" i="9"/>
  <c r="D181" i="9"/>
  <c r="C181" i="9"/>
  <c r="B181" i="9"/>
  <c r="A181" i="9"/>
  <c r="H180" i="9"/>
  <c r="G180" i="9"/>
  <c r="F180" i="9"/>
  <c r="E180" i="9"/>
  <c r="D180" i="9"/>
  <c r="C180" i="9"/>
  <c r="B180" i="9"/>
  <c r="A180" i="9"/>
  <c r="H179" i="9"/>
  <c r="G179" i="9"/>
  <c r="F179" i="9"/>
  <c r="E179" i="9"/>
  <c r="D179" i="9"/>
  <c r="C179" i="9"/>
  <c r="B179" i="9"/>
  <c r="A179" i="9"/>
  <c r="H178" i="9"/>
  <c r="G178" i="9"/>
  <c r="F178" i="9"/>
  <c r="E178" i="9"/>
  <c r="D178" i="9"/>
  <c r="C178" i="9"/>
  <c r="B178" i="9"/>
  <c r="A178" i="9"/>
  <c r="H177" i="9"/>
  <c r="G177" i="9"/>
  <c r="F177" i="9"/>
  <c r="E177" i="9"/>
  <c r="D177" i="9"/>
  <c r="C177" i="9"/>
  <c r="B177" i="9"/>
  <c r="A177" i="9"/>
  <c r="H176" i="9"/>
  <c r="G176" i="9"/>
  <c r="F176" i="9"/>
  <c r="E176" i="9"/>
  <c r="D176" i="9"/>
  <c r="C176" i="9"/>
  <c r="B176" i="9"/>
  <c r="A176" i="9"/>
  <c r="H175" i="9"/>
  <c r="G175" i="9"/>
  <c r="F175" i="9"/>
  <c r="E175" i="9"/>
  <c r="D175" i="9"/>
  <c r="C175" i="9"/>
  <c r="B175" i="9"/>
  <c r="A175" i="9"/>
  <c r="H174" i="9"/>
  <c r="G174" i="9"/>
  <c r="F174" i="9"/>
  <c r="E174" i="9"/>
  <c r="D174" i="9"/>
  <c r="C174" i="9"/>
  <c r="B174" i="9"/>
  <c r="A174" i="9"/>
  <c r="H173" i="9"/>
  <c r="G173" i="9"/>
  <c r="F173" i="9"/>
  <c r="E173" i="9"/>
  <c r="D173" i="9"/>
  <c r="C173" i="9"/>
  <c r="B173" i="9"/>
  <c r="A173" i="9"/>
  <c r="H172" i="9"/>
  <c r="G172" i="9"/>
  <c r="F172" i="9"/>
  <c r="E172" i="9"/>
  <c r="D172" i="9"/>
  <c r="C172" i="9"/>
  <c r="B172" i="9"/>
  <c r="A172" i="9"/>
  <c r="H171" i="9"/>
  <c r="G171" i="9"/>
  <c r="F171" i="9"/>
  <c r="E171" i="9"/>
  <c r="D171" i="9"/>
  <c r="C171" i="9"/>
  <c r="B171" i="9"/>
  <c r="A171" i="9"/>
  <c r="H170" i="9"/>
  <c r="G170" i="9"/>
  <c r="F170" i="9"/>
  <c r="E170" i="9"/>
  <c r="D170" i="9"/>
  <c r="C170" i="9"/>
  <c r="B170" i="9"/>
  <c r="A170" i="9"/>
  <c r="H169" i="9"/>
  <c r="G169" i="9"/>
  <c r="F169" i="9"/>
  <c r="E169" i="9"/>
  <c r="D169" i="9"/>
  <c r="C169" i="9"/>
  <c r="B169" i="9"/>
  <c r="A169" i="9"/>
  <c r="H168" i="9"/>
  <c r="G168" i="9"/>
  <c r="F168" i="9"/>
  <c r="E168" i="9"/>
  <c r="D168" i="9"/>
  <c r="C168" i="9"/>
  <c r="B168" i="9"/>
  <c r="A168" i="9"/>
  <c r="H167" i="9"/>
  <c r="G167" i="9"/>
  <c r="F167" i="9"/>
  <c r="E167" i="9"/>
  <c r="D167" i="9"/>
  <c r="C167" i="9"/>
  <c r="B167" i="9"/>
  <c r="A167" i="9"/>
  <c r="H166" i="9"/>
  <c r="G166" i="9"/>
  <c r="F166" i="9"/>
  <c r="E166" i="9"/>
  <c r="D166" i="9"/>
  <c r="C166" i="9"/>
  <c r="B166" i="9"/>
  <c r="A166" i="9"/>
  <c r="H165" i="9"/>
  <c r="G165" i="9"/>
  <c r="F165" i="9"/>
  <c r="E165" i="9"/>
  <c r="D165" i="9"/>
  <c r="C165" i="9"/>
  <c r="B165" i="9"/>
  <c r="A165" i="9"/>
  <c r="H164" i="9"/>
  <c r="G164" i="9"/>
  <c r="F164" i="9"/>
  <c r="E164" i="9"/>
  <c r="D164" i="9"/>
  <c r="C164" i="9"/>
  <c r="B164" i="9"/>
  <c r="A164" i="9"/>
  <c r="H163" i="9"/>
  <c r="G163" i="9"/>
  <c r="F163" i="9"/>
  <c r="E163" i="9"/>
  <c r="D163" i="9"/>
  <c r="C163" i="9"/>
  <c r="B163" i="9"/>
  <c r="A163" i="9"/>
  <c r="H162" i="9"/>
  <c r="G162" i="9"/>
  <c r="F162" i="9"/>
  <c r="E162" i="9"/>
  <c r="D162" i="9"/>
  <c r="C162" i="9"/>
  <c r="B162" i="9"/>
  <c r="A162" i="9"/>
  <c r="H161" i="9"/>
  <c r="G161" i="9"/>
  <c r="F161" i="9"/>
  <c r="E161" i="9"/>
  <c r="D161" i="9"/>
  <c r="C161" i="9"/>
  <c r="B161" i="9"/>
  <c r="A161" i="9"/>
  <c r="H160" i="9"/>
  <c r="G160" i="9"/>
  <c r="F160" i="9"/>
  <c r="E160" i="9"/>
  <c r="D160" i="9"/>
  <c r="C160" i="9"/>
  <c r="B160" i="9"/>
  <c r="A160" i="9"/>
  <c r="H159" i="9"/>
  <c r="G159" i="9"/>
  <c r="F159" i="9"/>
  <c r="E159" i="9"/>
  <c r="D159" i="9"/>
  <c r="C159" i="9"/>
  <c r="B159" i="9"/>
  <c r="A159" i="9"/>
  <c r="H158" i="9"/>
  <c r="G158" i="9"/>
  <c r="F158" i="9"/>
  <c r="E158" i="9"/>
  <c r="D158" i="9"/>
  <c r="C158" i="9"/>
  <c r="B158" i="9"/>
  <c r="A158" i="9"/>
  <c r="H157" i="9"/>
  <c r="G157" i="9"/>
  <c r="F157" i="9"/>
  <c r="E157" i="9"/>
  <c r="D157" i="9"/>
  <c r="C157" i="9"/>
  <c r="B157" i="9"/>
  <c r="A157" i="9"/>
  <c r="H156" i="9"/>
  <c r="G156" i="9"/>
  <c r="F156" i="9"/>
  <c r="E156" i="9"/>
  <c r="D156" i="9"/>
  <c r="C156" i="9"/>
  <c r="B156" i="9"/>
  <c r="A156" i="9"/>
  <c r="H155" i="9"/>
  <c r="G155" i="9"/>
  <c r="F155" i="9"/>
  <c r="E155" i="9"/>
  <c r="D155" i="9"/>
  <c r="C155" i="9"/>
  <c r="B155" i="9"/>
  <c r="A155" i="9"/>
  <c r="H154" i="9"/>
  <c r="G154" i="9"/>
  <c r="F154" i="9"/>
  <c r="E154" i="9"/>
  <c r="D154" i="9"/>
  <c r="C154" i="9"/>
  <c r="B154" i="9"/>
  <c r="A154" i="9"/>
  <c r="H153" i="9"/>
  <c r="G153" i="9"/>
  <c r="F153" i="9"/>
  <c r="E153" i="9"/>
  <c r="D153" i="9"/>
  <c r="C153" i="9"/>
  <c r="B153" i="9"/>
  <c r="A153" i="9"/>
  <c r="H152" i="9"/>
  <c r="G152" i="9"/>
  <c r="F152" i="9"/>
  <c r="E152" i="9"/>
  <c r="D152" i="9"/>
  <c r="C152" i="9"/>
  <c r="B152" i="9"/>
  <c r="A152" i="9"/>
  <c r="H151" i="9"/>
  <c r="G151" i="9"/>
  <c r="F151" i="9"/>
  <c r="E151" i="9"/>
  <c r="D151" i="9"/>
  <c r="C151" i="9"/>
  <c r="B151" i="9"/>
  <c r="A151" i="9"/>
  <c r="H150" i="9"/>
  <c r="G150" i="9"/>
  <c r="F150" i="9"/>
  <c r="E150" i="9"/>
  <c r="D150" i="9"/>
  <c r="C150" i="9"/>
  <c r="B150" i="9"/>
  <c r="A150" i="9"/>
  <c r="H149" i="9"/>
  <c r="G149" i="9"/>
  <c r="F149" i="9"/>
  <c r="E149" i="9"/>
  <c r="D149" i="9"/>
  <c r="C149" i="9"/>
  <c r="B149" i="9"/>
  <c r="A149" i="9"/>
  <c r="H148" i="9"/>
  <c r="G148" i="9"/>
  <c r="F148" i="9"/>
  <c r="E148" i="9"/>
  <c r="D148" i="9"/>
  <c r="C148" i="9"/>
  <c r="B148" i="9"/>
  <c r="A148" i="9"/>
  <c r="H147" i="9"/>
  <c r="G147" i="9"/>
  <c r="F147" i="9"/>
  <c r="E147" i="9"/>
  <c r="D147" i="9"/>
  <c r="C147" i="9"/>
  <c r="B147" i="9"/>
  <c r="A147" i="9"/>
  <c r="H146" i="9"/>
  <c r="G146" i="9"/>
  <c r="F146" i="9"/>
  <c r="E146" i="9"/>
  <c r="D146" i="9"/>
  <c r="C146" i="9"/>
  <c r="B146" i="9"/>
  <c r="A146" i="9"/>
  <c r="H145" i="9"/>
  <c r="G145" i="9"/>
  <c r="F145" i="9"/>
  <c r="E145" i="9"/>
  <c r="D145" i="9"/>
  <c r="C145" i="9"/>
  <c r="B145" i="9"/>
  <c r="A145" i="9"/>
  <c r="H144" i="9"/>
  <c r="G144" i="9"/>
  <c r="F144" i="9"/>
  <c r="E144" i="9"/>
  <c r="D144" i="9"/>
  <c r="C144" i="9"/>
  <c r="B144" i="9"/>
  <c r="A144" i="9"/>
  <c r="H143" i="9"/>
  <c r="G143" i="9"/>
  <c r="F143" i="9"/>
  <c r="E143" i="9"/>
  <c r="D143" i="9"/>
  <c r="C143" i="9"/>
  <c r="B143" i="9"/>
  <c r="A143" i="9"/>
  <c r="H142" i="9"/>
  <c r="G142" i="9"/>
  <c r="F142" i="9"/>
  <c r="E142" i="9"/>
  <c r="D142" i="9"/>
  <c r="C142" i="9"/>
  <c r="B142" i="9"/>
  <c r="A142" i="9"/>
  <c r="H141" i="9"/>
  <c r="G141" i="9"/>
  <c r="F141" i="9"/>
  <c r="E141" i="9"/>
  <c r="D141" i="9"/>
  <c r="C141" i="9"/>
  <c r="B141" i="9"/>
  <c r="A141" i="9"/>
  <c r="H140" i="9"/>
  <c r="G140" i="9"/>
  <c r="F140" i="9"/>
  <c r="E140" i="9"/>
  <c r="D140" i="9"/>
  <c r="C140" i="9"/>
  <c r="B140" i="9"/>
  <c r="A140" i="9"/>
  <c r="H139" i="9"/>
  <c r="G139" i="9"/>
  <c r="F139" i="9"/>
  <c r="E139" i="9"/>
  <c r="D139" i="9"/>
  <c r="C139" i="9"/>
  <c r="B139" i="9"/>
  <c r="A139" i="9"/>
  <c r="H138" i="9"/>
  <c r="G138" i="9"/>
  <c r="F138" i="9"/>
  <c r="E138" i="9"/>
  <c r="D138" i="9"/>
  <c r="C138" i="9"/>
  <c r="B138" i="9"/>
  <c r="A138" i="9"/>
  <c r="H137" i="9"/>
  <c r="G137" i="9"/>
  <c r="F137" i="9"/>
  <c r="E137" i="9"/>
  <c r="D137" i="9"/>
  <c r="C137" i="9"/>
  <c r="B137" i="9"/>
  <c r="A137" i="9"/>
  <c r="H136" i="9"/>
  <c r="G136" i="9"/>
  <c r="F136" i="9"/>
  <c r="E136" i="9"/>
  <c r="D136" i="9"/>
  <c r="C136" i="9"/>
  <c r="B136" i="9"/>
  <c r="A136" i="9"/>
  <c r="H135" i="9"/>
  <c r="G135" i="9"/>
  <c r="F135" i="9"/>
  <c r="E135" i="9"/>
  <c r="D135" i="9"/>
  <c r="C135" i="9"/>
  <c r="B135" i="9"/>
  <c r="A135" i="9"/>
  <c r="H134" i="9"/>
  <c r="G134" i="9"/>
  <c r="F134" i="9"/>
  <c r="E134" i="9"/>
  <c r="D134" i="9"/>
  <c r="C134" i="9"/>
  <c r="B134" i="9"/>
  <c r="A134" i="9"/>
  <c r="H133" i="9"/>
  <c r="G133" i="9"/>
  <c r="F133" i="9"/>
  <c r="E133" i="9"/>
  <c r="D133" i="9"/>
  <c r="C133" i="9"/>
  <c r="B133" i="9"/>
  <c r="A133" i="9"/>
  <c r="H132" i="9"/>
  <c r="G132" i="9"/>
  <c r="F132" i="9"/>
  <c r="E132" i="9"/>
  <c r="D132" i="9"/>
  <c r="C132" i="9"/>
  <c r="B132" i="9"/>
  <c r="A132" i="9"/>
  <c r="H131" i="9"/>
  <c r="G131" i="9"/>
  <c r="F131" i="9"/>
  <c r="E131" i="9"/>
  <c r="D131" i="9"/>
  <c r="C131" i="9"/>
  <c r="B131" i="9"/>
  <c r="A131" i="9"/>
  <c r="H130" i="9"/>
  <c r="G130" i="9"/>
  <c r="F130" i="9"/>
  <c r="E130" i="9"/>
  <c r="D130" i="9"/>
  <c r="C130" i="9"/>
  <c r="B130" i="9"/>
  <c r="A130" i="9"/>
  <c r="H129" i="9"/>
  <c r="G129" i="9"/>
  <c r="F129" i="9"/>
  <c r="E129" i="9"/>
  <c r="D129" i="9"/>
  <c r="C129" i="9"/>
  <c r="B129" i="9"/>
  <c r="A129" i="9"/>
  <c r="H128" i="9"/>
  <c r="G128" i="9"/>
  <c r="F128" i="9"/>
  <c r="E128" i="9"/>
  <c r="D128" i="9"/>
  <c r="C128" i="9"/>
  <c r="B128" i="9"/>
  <c r="A128" i="9"/>
  <c r="H127" i="9"/>
  <c r="G127" i="9"/>
  <c r="F127" i="9"/>
  <c r="E127" i="9"/>
  <c r="D127" i="9"/>
  <c r="C127" i="9"/>
  <c r="B127" i="9"/>
  <c r="A127" i="9"/>
  <c r="H126" i="9"/>
  <c r="G126" i="9"/>
  <c r="F126" i="9"/>
  <c r="E126" i="9"/>
  <c r="D126" i="9"/>
  <c r="C126" i="9"/>
  <c r="B126" i="9"/>
  <c r="A126" i="9"/>
  <c r="H125" i="9"/>
  <c r="G125" i="9"/>
  <c r="F125" i="9"/>
  <c r="E125" i="9"/>
  <c r="D125" i="9"/>
  <c r="C125" i="9"/>
  <c r="B125" i="9"/>
  <c r="A125" i="9"/>
  <c r="H124" i="9"/>
  <c r="G124" i="9"/>
  <c r="F124" i="9"/>
  <c r="E124" i="9"/>
  <c r="D124" i="9"/>
  <c r="C124" i="9"/>
  <c r="B124" i="9"/>
  <c r="A124" i="9"/>
  <c r="H123" i="9"/>
  <c r="G123" i="9"/>
  <c r="F123" i="9"/>
  <c r="E123" i="9"/>
  <c r="D123" i="9"/>
  <c r="C123" i="9"/>
  <c r="B123" i="9"/>
  <c r="A123" i="9"/>
  <c r="H122" i="9"/>
  <c r="G122" i="9"/>
  <c r="F122" i="9"/>
  <c r="E122" i="9"/>
  <c r="D122" i="9"/>
  <c r="C122" i="9"/>
  <c r="B122" i="9"/>
  <c r="A122" i="9"/>
  <c r="H121" i="9"/>
  <c r="G121" i="9"/>
  <c r="F121" i="9"/>
  <c r="E121" i="9"/>
  <c r="D121" i="9"/>
  <c r="C121" i="9"/>
  <c r="B121" i="9"/>
  <c r="A121" i="9"/>
  <c r="H120" i="9"/>
  <c r="G120" i="9"/>
  <c r="F120" i="9"/>
  <c r="E120" i="9"/>
  <c r="D120" i="9"/>
  <c r="C120" i="9"/>
  <c r="B120" i="9"/>
  <c r="A120" i="9"/>
  <c r="H119" i="9"/>
  <c r="G119" i="9"/>
  <c r="F119" i="9"/>
  <c r="E119" i="9"/>
  <c r="D119" i="9"/>
  <c r="C119" i="9"/>
  <c r="B119" i="9"/>
  <c r="A119" i="9"/>
  <c r="H118" i="9"/>
  <c r="G118" i="9"/>
  <c r="F118" i="9"/>
  <c r="E118" i="9"/>
  <c r="D118" i="9"/>
  <c r="C118" i="9"/>
  <c r="B118" i="9"/>
  <c r="A118" i="9"/>
  <c r="H117" i="9"/>
  <c r="G117" i="9"/>
  <c r="F117" i="9"/>
  <c r="E117" i="9"/>
  <c r="D117" i="9"/>
  <c r="C117" i="9"/>
  <c r="B117" i="9"/>
  <c r="A117" i="9"/>
  <c r="H116" i="9"/>
  <c r="G116" i="9"/>
  <c r="F116" i="9"/>
  <c r="E116" i="9"/>
  <c r="D116" i="9"/>
  <c r="C116" i="9"/>
  <c r="B116" i="9"/>
  <c r="A116" i="9"/>
  <c r="H115" i="9"/>
  <c r="G115" i="9"/>
  <c r="F115" i="9"/>
  <c r="E115" i="9"/>
  <c r="D115" i="9"/>
  <c r="C115" i="9"/>
  <c r="B115" i="9"/>
  <c r="A115" i="9"/>
  <c r="H114" i="9"/>
  <c r="G114" i="9"/>
  <c r="F114" i="9"/>
  <c r="E114" i="9"/>
  <c r="D114" i="9"/>
  <c r="C114" i="9"/>
  <c r="B114" i="9"/>
  <c r="A114" i="9"/>
  <c r="H113" i="9"/>
  <c r="G113" i="9"/>
  <c r="F113" i="9"/>
  <c r="E113" i="9"/>
  <c r="D113" i="9"/>
  <c r="C113" i="9"/>
  <c r="B113" i="9"/>
  <c r="A113" i="9"/>
  <c r="H112" i="9"/>
  <c r="G112" i="9"/>
  <c r="F112" i="9"/>
  <c r="E112" i="9"/>
  <c r="D112" i="9"/>
  <c r="C112" i="9"/>
  <c r="B112" i="9"/>
  <c r="A112" i="9"/>
  <c r="H111" i="9"/>
  <c r="G111" i="9"/>
  <c r="F111" i="9"/>
  <c r="E111" i="9"/>
  <c r="D111" i="9"/>
  <c r="C111" i="9"/>
  <c r="B111" i="9"/>
  <c r="A111" i="9"/>
  <c r="H110" i="9"/>
  <c r="G110" i="9"/>
  <c r="F110" i="9"/>
  <c r="E110" i="9"/>
  <c r="D110" i="9"/>
  <c r="C110" i="9"/>
  <c r="B110" i="9"/>
  <c r="A110" i="9"/>
  <c r="H109" i="9"/>
  <c r="G109" i="9"/>
  <c r="F109" i="9"/>
  <c r="E109" i="9"/>
  <c r="D109" i="9"/>
  <c r="C109" i="9"/>
  <c r="B109" i="9"/>
  <c r="A109" i="9"/>
  <c r="H108" i="9"/>
  <c r="G108" i="9"/>
  <c r="F108" i="9"/>
  <c r="E108" i="9"/>
  <c r="D108" i="9"/>
  <c r="C108" i="9"/>
  <c r="B108" i="9"/>
  <c r="A108" i="9"/>
  <c r="H107" i="9"/>
  <c r="G107" i="9"/>
  <c r="F107" i="9"/>
  <c r="E107" i="9"/>
  <c r="D107" i="9"/>
  <c r="C107" i="9"/>
  <c r="B107" i="9"/>
  <c r="A107" i="9"/>
  <c r="H106" i="9"/>
  <c r="G106" i="9"/>
  <c r="F106" i="9"/>
  <c r="E106" i="9"/>
  <c r="D106" i="9"/>
  <c r="C106" i="9"/>
  <c r="B106" i="9"/>
  <c r="A106" i="9"/>
  <c r="H105" i="9"/>
  <c r="G105" i="9"/>
  <c r="F105" i="9"/>
  <c r="E105" i="9"/>
  <c r="D105" i="9"/>
  <c r="C105" i="9"/>
  <c r="B105" i="9"/>
  <c r="A105" i="9"/>
  <c r="H104" i="9"/>
  <c r="G104" i="9"/>
  <c r="F104" i="9"/>
  <c r="E104" i="9"/>
  <c r="D104" i="9"/>
  <c r="C104" i="9"/>
  <c r="B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H92" i="9"/>
  <c r="G92" i="9"/>
  <c r="F92" i="9"/>
  <c r="E92" i="9"/>
  <c r="D92" i="9"/>
  <c r="C92" i="9"/>
  <c r="B92" i="9"/>
  <c r="A92" i="9"/>
  <c r="H91" i="9"/>
  <c r="G91" i="9"/>
  <c r="F91" i="9"/>
  <c r="E91" i="9"/>
  <c r="D91" i="9"/>
  <c r="C91" i="9"/>
  <c r="B91" i="9"/>
  <c r="A91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H85" i="9"/>
  <c r="G85" i="9"/>
  <c r="F85" i="9"/>
  <c r="E85" i="9"/>
  <c r="D85" i="9"/>
  <c r="C85" i="9"/>
  <c r="B85" i="9"/>
  <c r="A85" i="9"/>
  <c r="H84" i="9"/>
  <c r="G84" i="9"/>
  <c r="F84" i="9"/>
  <c r="E84" i="9"/>
  <c r="D84" i="9"/>
  <c r="C84" i="9"/>
  <c r="B84" i="9"/>
  <c r="A84" i="9"/>
  <c r="H83" i="9"/>
  <c r="G83" i="9"/>
  <c r="F83" i="9"/>
  <c r="E83" i="9"/>
  <c r="D83" i="9"/>
  <c r="C83" i="9"/>
  <c r="B83" i="9"/>
  <c r="A83" i="9"/>
  <c r="H82" i="9"/>
  <c r="G82" i="9"/>
  <c r="F82" i="9"/>
  <c r="E82" i="9"/>
  <c r="D82" i="9"/>
  <c r="C82" i="9"/>
  <c r="B82" i="9"/>
  <c r="A82" i="9"/>
  <c r="H81" i="9"/>
  <c r="G81" i="9"/>
  <c r="F81" i="9"/>
  <c r="E81" i="9"/>
  <c r="D81" i="9"/>
  <c r="C81" i="9"/>
  <c r="B81" i="9"/>
  <c r="A81" i="9"/>
  <c r="H80" i="9"/>
  <c r="G80" i="9"/>
  <c r="F80" i="9"/>
  <c r="E80" i="9"/>
  <c r="D80" i="9"/>
  <c r="C80" i="9"/>
  <c r="B80" i="9"/>
  <c r="A80" i="9"/>
  <c r="H79" i="9"/>
  <c r="G79" i="9"/>
  <c r="F79" i="9"/>
  <c r="E79" i="9"/>
  <c r="D79" i="9"/>
  <c r="C79" i="9"/>
  <c r="B79" i="9"/>
  <c r="A79" i="9"/>
  <c r="H78" i="9"/>
  <c r="G78" i="9"/>
  <c r="F78" i="9"/>
  <c r="E78" i="9"/>
  <c r="D78" i="9"/>
  <c r="C78" i="9"/>
  <c r="B78" i="9"/>
  <c r="A78" i="9"/>
  <c r="H77" i="9"/>
  <c r="G77" i="9"/>
  <c r="F77" i="9"/>
  <c r="E77" i="9"/>
  <c r="D77" i="9"/>
  <c r="C77" i="9"/>
  <c r="B77" i="9"/>
  <c r="A77" i="9"/>
  <c r="H76" i="9"/>
  <c r="G76" i="9"/>
  <c r="F76" i="9"/>
  <c r="E76" i="9"/>
  <c r="D76" i="9"/>
  <c r="C76" i="9"/>
  <c r="B76" i="9"/>
  <c r="A76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H73" i="9"/>
  <c r="G73" i="9"/>
  <c r="F73" i="9"/>
  <c r="E73" i="9"/>
  <c r="D73" i="9"/>
  <c r="C73" i="9"/>
  <c r="B73" i="9"/>
  <c r="A73" i="9"/>
  <c r="H72" i="9"/>
  <c r="G72" i="9"/>
  <c r="F72" i="9"/>
  <c r="E72" i="9"/>
  <c r="D72" i="9"/>
  <c r="C72" i="9"/>
  <c r="B72" i="9"/>
  <c r="A72" i="9"/>
  <c r="H71" i="9"/>
  <c r="G71" i="9"/>
  <c r="F71" i="9"/>
  <c r="E71" i="9"/>
  <c r="D71" i="9"/>
  <c r="C71" i="9"/>
  <c r="B71" i="9"/>
  <c r="A71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H63" i="9"/>
  <c r="G63" i="9"/>
  <c r="F63" i="9"/>
  <c r="E63" i="9"/>
  <c r="D63" i="9"/>
  <c r="C63" i="9"/>
  <c r="B63" i="9"/>
  <c r="A63" i="9"/>
  <c r="H62" i="9"/>
  <c r="G62" i="9"/>
  <c r="F62" i="9"/>
  <c r="E62" i="9"/>
  <c r="D62" i="9"/>
  <c r="C62" i="9"/>
  <c r="B62" i="9"/>
  <c r="A62" i="9"/>
  <c r="H61" i="9"/>
  <c r="G61" i="9"/>
  <c r="F61" i="9"/>
  <c r="E61" i="9"/>
  <c r="D61" i="9"/>
  <c r="C61" i="9"/>
  <c r="B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A59" i="9"/>
  <c r="H58" i="9"/>
  <c r="G58" i="9"/>
  <c r="F58" i="9"/>
  <c r="E58" i="9"/>
  <c r="D58" i="9"/>
  <c r="C58" i="9"/>
  <c r="B58" i="9"/>
  <c r="A58" i="9"/>
  <c r="H57" i="9"/>
  <c r="G57" i="9"/>
  <c r="F57" i="9"/>
  <c r="E57" i="9"/>
  <c r="D57" i="9"/>
  <c r="C57" i="9"/>
  <c r="B57" i="9"/>
  <c r="A57" i="9"/>
  <c r="H56" i="9"/>
  <c r="G56" i="9"/>
  <c r="F56" i="9"/>
  <c r="E56" i="9"/>
  <c r="D56" i="9"/>
  <c r="C56" i="9"/>
  <c r="B56" i="9"/>
  <c r="A56" i="9"/>
  <c r="H55" i="9"/>
  <c r="G55" i="9"/>
  <c r="F55" i="9"/>
  <c r="E55" i="9"/>
  <c r="D55" i="9"/>
  <c r="C55" i="9"/>
  <c r="B55" i="9"/>
  <c r="A55" i="9"/>
  <c r="H54" i="9"/>
  <c r="G54" i="9"/>
  <c r="F54" i="9"/>
  <c r="E54" i="9"/>
  <c r="D54" i="9"/>
  <c r="C54" i="9"/>
  <c r="B54" i="9"/>
  <c r="A54" i="9"/>
  <c r="H53" i="9"/>
  <c r="G53" i="9"/>
  <c r="F53" i="9"/>
  <c r="E53" i="9"/>
  <c r="D53" i="9"/>
  <c r="C53" i="9"/>
  <c r="B53" i="9"/>
  <c r="A53" i="9"/>
  <c r="H52" i="9"/>
  <c r="G52" i="9"/>
  <c r="F52" i="9"/>
  <c r="E52" i="9"/>
  <c r="D52" i="9"/>
  <c r="C52" i="9"/>
  <c r="B52" i="9"/>
  <c r="A52" i="9"/>
  <c r="H51" i="9"/>
  <c r="G51" i="9"/>
  <c r="F51" i="9"/>
  <c r="E51" i="9"/>
  <c r="D51" i="9"/>
  <c r="C51" i="9"/>
  <c r="B51" i="9"/>
  <c r="A51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I6" i="9"/>
  <c r="H6" i="9"/>
  <c r="G6" i="9"/>
  <c r="F6" i="9"/>
  <c r="E6" i="9"/>
  <c r="D6" i="9"/>
  <c r="C6" i="9"/>
  <c r="B6" i="9"/>
  <c r="A6" i="9"/>
  <c r="I5" i="9"/>
  <c r="H5" i="9"/>
  <c r="G5" i="9"/>
  <c r="F5" i="9"/>
  <c r="E5" i="9"/>
  <c r="D5" i="9"/>
  <c r="C5" i="9"/>
  <c r="B5" i="9"/>
  <c r="A5" i="9"/>
  <c r="A3" i="9"/>
  <c r="A2" i="9"/>
  <c r="A1" i="9"/>
  <c r="G5" i="7"/>
  <c r="G41" i="7"/>
  <c r="F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F41" i="6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Z319" i="2"/>
  <c r="Y319" i="2"/>
  <c r="X319" i="2"/>
  <c r="W319" i="2"/>
  <c r="V319" i="2"/>
  <c r="U319" i="2"/>
  <c r="Q319" i="2"/>
  <c r="P319" i="2"/>
  <c r="O319" i="2"/>
  <c r="M319" i="2"/>
  <c r="L319" i="2"/>
  <c r="J319" i="2"/>
  <c r="H319" i="2"/>
  <c r="G319" i="2"/>
  <c r="F319" i="2"/>
  <c r="E319" i="2"/>
  <c r="D319" i="2"/>
  <c r="C319" i="2"/>
  <c r="Z318" i="2"/>
  <c r="Y318" i="2"/>
  <c r="X318" i="2"/>
  <c r="W318" i="2"/>
  <c r="V318" i="2"/>
  <c r="U318" i="2"/>
  <c r="Q318" i="2"/>
  <c r="P318" i="2"/>
  <c r="O318" i="2"/>
  <c r="M318" i="2"/>
  <c r="L318" i="2"/>
  <c r="J318" i="2"/>
  <c r="H318" i="2"/>
  <c r="G318" i="2"/>
  <c r="F318" i="2"/>
  <c r="E318" i="2"/>
  <c r="D318" i="2"/>
  <c r="C318" i="2"/>
  <c r="Z317" i="2"/>
  <c r="Y317" i="2"/>
  <c r="X317" i="2"/>
  <c r="W317" i="2"/>
  <c r="V317" i="2"/>
  <c r="U317" i="2"/>
  <c r="Q317" i="2"/>
  <c r="P317" i="2"/>
  <c r="O317" i="2"/>
  <c r="M317" i="2"/>
  <c r="L317" i="2"/>
  <c r="J317" i="2"/>
  <c r="H317" i="2"/>
  <c r="G317" i="2"/>
  <c r="F317" i="2"/>
  <c r="E317" i="2"/>
  <c r="D317" i="2"/>
  <c r="C317" i="2"/>
  <c r="Z316" i="2"/>
  <c r="Y316" i="2"/>
  <c r="X316" i="2"/>
  <c r="W316" i="2"/>
  <c r="V316" i="2"/>
  <c r="U316" i="2"/>
  <c r="Q316" i="2"/>
  <c r="P316" i="2"/>
  <c r="O316" i="2"/>
  <c r="M316" i="2"/>
  <c r="L316" i="2"/>
  <c r="J316" i="2"/>
  <c r="H316" i="2"/>
  <c r="G316" i="2"/>
  <c r="F316" i="2"/>
  <c r="E316" i="2"/>
  <c r="D316" i="2"/>
  <c r="C316" i="2"/>
  <c r="Z315" i="2"/>
  <c r="Y315" i="2"/>
  <c r="X315" i="2"/>
  <c r="W315" i="2"/>
  <c r="V315" i="2"/>
  <c r="U315" i="2"/>
  <c r="Q315" i="2"/>
  <c r="P315" i="2"/>
  <c r="O315" i="2"/>
  <c r="M315" i="2"/>
  <c r="L315" i="2"/>
  <c r="J315" i="2"/>
  <c r="H315" i="2"/>
  <c r="G315" i="2"/>
  <c r="F315" i="2"/>
  <c r="E315" i="2"/>
  <c r="D315" i="2"/>
  <c r="C315" i="2"/>
  <c r="Z314" i="2"/>
  <c r="Y314" i="2"/>
  <c r="X314" i="2"/>
  <c r="W314" i="2"/>
  <c r="V314" i="2"/>
  <c r="U314" i="2"/>
  <c r="Q314" i="2"/>
  <c r="P314" i="2"/>
  <c r="O314" i="2"/>
  <c r="M314" i="2"/>
  <c r="L314" i="2"/>
  <c r="J314" i="2"/>
  <c r="H314" i="2"/>
  <c r="G314" i="2"/>
  <c r="F314" i="2"/>
  <c r="E314" i="2"/>
  <c r="D314" i="2"/>
  <c r="C314" i="2"/>
  <c r="Z313" i="2"/>
  <c r="Y313" i="2"/>
  <c r="X313" i="2"/>
  <c r="W313" i="2"/>
  <c r="V313" i="2"/>
  <c r="U313" i="2"/>
  <c r="Q313" i="2"/>
  <c r="P313" i="2"/>
  <c r="O313" i="2"/>
  <c r="M313" i="2"/>
  <c r="L313" i="2"/>
  <c r="J313" i="2"/>
  <c r="H313" i="2"/>
  <c r="G313" i="2"/>
  <c r="F313" i="2"/>
  <c r="E313" i="2"/>
  <c r="D313" i="2"/>
  <c r="C313" i="2"/>
  <c r="Z312" i="2"/>
  <c r="Y312" i="2"/>
  <c r="X312" i="2"/>
  <c r="W312" i="2"/>
  <c r="V312" i="2"/>
  <c r="U312" i="2"/>
  <c r="Q312" i="2"/>
  <c r="P312" i="2"/>
  <c r="O312" i="2"/>
  <c r="M312" i="2"/>
  <c r="L312" i="2"/>
  <c r="J312" i="2"/>
  <c r="H312" i="2"/>
  <c r="G312" i="2"/>
  <c r="F312" i="2"/>
  <c r="E312" i="2"/>
  <c r="D312" i="2"/>
  <c r="C312" i="2"/>
  <c r="Z311" i="2"/>
  <c r="Y311" i="2"/>
  <c r="X311" i="2"/>
  <c r="W311" i="2"/>
  <c r="V311" i="2"/>
  <c r="U311" i="2"/>
  <c r="Q311" i="2"/>
  <c r="P311" i="2"/>
  <c r="O311" i="2"/>
  <c r="M311" i="2"/>
  <c r="L311" i="2"/>
  <c r="J311" i="2"/>
  <c r="H311" i="2"/>
  <c r="G311" i="2"/>
  <c r="F311" i="2"/>
  <c r="E311" i="2"/>
  <c r="D311" i="2"/>
  <c r="C311" i="2"/>
  <c r="Z310" i="2"/>
  <c r="Y310" i="2"/>
  <c r="X310" i="2"/>
  <c r="W310" i="2"/>
  <c r="V310" i="2"/>
  <c r="U310" i="2"/>
  <c r="Q310" i="2"/>
  <c r="P310" i="2"/>
  <c r="O310" i="2"/>
  <c r="M310" i="2"/>
  <c r="L310" i="2"/>
  <c r="J310" i="2"/>
  <c r="H310" i="2"/>
  <c r="G310" i="2"/>
  <c r="F310" i="2"/>
  <c r="E310" i="2"/>
  <c r="D310" i="2"/>
  <c r="C310" i="2"/>
  <c r="Z309" i="2"/>
  <c r="Y309" i="2"/>
  <c r="X309" i="2"/>
  <c r="W309" i="2"/>
  <c r="V309" i="2"/>
  <c r="U309" i="2"/>
  <c r="Q309" i="2"/>
  <c r="P309" i="2"/>
  <c r="O309" i="2"/>
  <c r="M309" i="2"/>
  <c r="L309" i="2"/>
  <c r="J309" i="2"/>
  <c r="H309" i="2"/>
  <c r="G309" i="2"/>
  <c r="F309" i="2"/>
  <c r="E309" i="2"/>
  <c r="D309" i="2"/>
  <c r="C309" i="2"/>
  <c r="Z308" i="2"/>
  <c r="Y308" i="2"/>
  <c r="X308" i="2"/>
  <c r="W308" i="2"/>
  <c r="V308" i="2"/>
  <c r="U308" i="2"/>
  <c r="Q308" i="2"/>
  <c r="P308" i="2"/>
  <c r="O308" i="2"/>
  <c r="M308" i="2"/>
  <c r="L308" i="2"/>
  <c r="J308" i="2"/>
  <c r="H308" i="2"/>
  <c r="G308" i="2"/>
  <c r="F308" i="2"/>
  <c r="E308" i="2"/>
  <c r="D308" i="2"/>
  <c r="C308" i="2"/>
  <c r="Z307" i="2"/>
  <c r="Y307" i="2"/>
  <c r="X307" i="2"/>
  <c r="W307" i="2"/>
  <c r="V307" i="2"/>
  <c r="U307" i="2"/>
  <c r="Q307" i="2"/>
  <c r="P307" i="2"/>
  <c r="O307" i="2"/>
  <c r="M307" i="2"/>
  <c r="L307" i="2"/>
  <c r="J307" i="2"/>
  <c r="H307" i="2"/>
  <c r="G307" i="2"/>
  <c r="F307" i="2"/>
  <c r="E307" i="2"/>
  <c r="D307" i="2"/>
  <c r="C307" i="2"/>
  <c r="Z306" i="2"/>
  <c r="Y306" i="2"/>
  <c r="X306" i="2"/>
  <c r="W306" i="2"/>
  <c r="V306" i="2"/>
  <c r="U306" i="2"/>
  <c r="Q306" i="2"/>
  <c r="P306" i="2"/>
  <c r="O306" i="2"/>
  <c r="M306" i="2"/>
  <c r="L306" i="2"/>
  <c r="J306" i="2"/>
  <c r="H306" i="2"/>
  <c r="G306" i="2"/>
  <c r="F306" i="2"/>
  <c r="E306" i="2"/>
  <c r="D306" i="2"/>
  <c r="C306" i="2"/>
  <c r="Z305" i="2"/>
  <c r="Y305" i="2"/>
  <c r="X305" i="2"/>
  <c r="W305" i="2"/>
  <c r="V305" i="2"/>
  <c r="U305" i="2"/>
  <c r="Q305" i="2"/>
  <c r="P305" i="2"/>
  <c r="O305" i="2"/>
  <c r="M305" i="2"/>
  <c r="L305" i="2"/>
  <c r="J305" i="2"/>
  <c r="H305" i="2"/>
  <c r="G305" i="2"/>
  <c r="F305" i="2"/>
  <c r="E305" i="2"/>
  <c r="D305" i="2"/>
  <c r="C305" i="2"/>
  <c r="Z304" i="2"/>
  <c r="Y304" i="2"/>
  <c r="X304" i="2"/>
  <c r="W304" i="2"/>
  <c r="V304" i="2"/>
  <c r="U304" i="2"/>
  <c r="Q304" i="2"/>
  <c r="P304" i="2"/>
  <c r="O304" i="2"/>
  <c r="M304" i="2"/>
  <c r="L304" i="2"/>
  <c r="J304" i="2"/>
  <c r="H304" i="2"/>
  <c r="G304" i="2"/>
  <c r="F304" i="2"/>
  <c r="E304" i="2"/>
  <c r="D304" i="2"/>
  <c r="C304" i="2"/>
  <c r="Z303" i="2"/>
  <c r="Y303" i="2"/>
  <c r="X303" i="2"/>
  <c r="W303" i="2"/>
  <c r="V303" i="2"/>
  <c r="U303" i="2"/>
  <c r="Q303" i="2"/>
  <c r="P303" i="2"/>
  <c r="O303" i="2"/>
  <c r="M303" i="2"/>
  <c r="L303" i="2"/>
  <c r="J303" i="2"/>
  <c r="H303" i="2"/>
  <c r="G303" i="2"/>
  <c r="F303" i="2"/>
  <c r="E303" i="2"/>
  <c r="D303" i="2"/>
  <c r="C303" i="2"/>
  <c r="Z302" i="2"/>
  <c r="Y302" i="2"/>
  <c r="X302" i="2"/>
  <c r="W302" i="2"/>
  <c r="V302" i="2"/>
  <c r="U302" i="2"/>
  <c r="Q302" i="2"/>
  <c r="P302" i="2"/>
  <c r="O302" i="2"/>
  <c r="M302" i="2"/>
  <c r="L302" i="2"/>
  <c r="J302" i="2"/>
  <c r="H302" i="2"/>
  <c r="G302" i="2"/>
  <c r="F302" i="2"/>
  <c r="E302" i="2"/>
  <c r="D302" i="2"/>
  <c r="C302" i="2"/>
  <c r="Z301" i="2"/>
  <c r="Y301" i="2"/>
  <c r="X301" i="2"/>
  <c r="W301" i="2"/>
  <c r="V301" i="2"/>
  <c r="U301" i="2"/>
  <c r="Q301" i="2"/>
  <c r="P301" i="2"/>
  <c r="O301" i="2"/>
  <c r="M301" i="2"/>
  <c r="L301" i="2"/>
  <c r="J301" i="2"/>
  <c r="H301" i="2"/>
  <c r="G301" i="2"/>
  <c r="F301" i="2"/>
  <c r="E301" i="2"/>
  <c r="D301" i="2"/>
  <c r="C301" i="2"/>
  <c r="Z300" i="2"/>
  <c r="Y300" i="2"/>
  <c r="X300" i="2"/>
  <c r="W300" i="2"/>
  <c r="V300" i="2"/>
  <c r="U300" i="2"/>
  <c r="Q300" i="2"/>
  <c r="P300" i="2"/>
  <c r="O300" i="2"/>
  <c r="M300" i="2"/>
  <c r="L300" i="2"/>
  <c r="J300" i="2"/>
  <c r="H300" i="2"/>
  <c r="G300" i="2"/>
  <c r="F300" i="2"/>
  <c r="E300" i="2"/>
  <c r="D300" i="2"/>
  <c r="C300" i="2"/>
  <c r="Z299" i="2"/>
  <c r="Y299" i="2"/>
  <c r="X299" i="2"/>
  <c r="W299" i="2"/>
  <c r="V299" i="2"/>
  <c r="U299" i="2"/>
  <c r="Q299" i="2"/>
  <c r="P299" i="2"/>
  <c r="O299" i="2"/>
  <c r="M299" i="2"/>
  <c r="L299" i="2"/>
  <c r="J299" i="2"/>
  <c r="H299" i="2"/>
  <c r="G299" i="2"/>
  <c r="F299" i="2"/>
  <c r="E299" i="2"/>
  <c r="D299" i="2"/>
  <c r="C299" i="2"/>
  <c r="Z298" i="2"/>
  <c r="Y298" i="2"/>
  <c r="X298" i="2"/>
  <c r="W298" i="2"/>
  <c r="V298" i="2"/>
  <c r="U298" i="2"/>
  <c r="Q298" i="2"/>
  <c r="P298" i="2"/>
  <c r="O298" i="2"/>
  <c r="M298" i="2"/>
  <c r="L298" i="2"/>
  <c r="J298" i="2"/>
  <c r="H298" i="2"/>
  <c r="G298" i="2"/>
  <c r="F298" i="2"/>
  <c r="E298" i="2"/>
  <c r="D298" i="2"/>
  <c r="C298" i="2"/>
  <c r="Z297" i="2"/>
  <c r="Y297" i="2"/>
  <c r="X297" i="2"/>
  <c r="W297" i="2"/>
  <c r="V297" i="2"/>
  <c r="U297" i="2"/>
  <c r="Q297" i="2"/>
  <c r="P297" i="2"/>
  <c r="O297" i="2"/>
  <c r="M297" i="2"/>
  <c r="L297" i="2"/>
  <c r="J297" i="2"/>
  <c r="H297" i="2"/>
  <c r="G297" i="2"/>
  <c r="F297" i="2"/>
  <c r="E297" i="2"/>
  <c r="D297" i="2"/>
  <c r="C297" i="2"/>
  <c r="Z296" i="2"/>
  <c r="Y296" i="2"/>
  <c r="X296" i="2"/>
  <c r="W296" i="2"/>
  <c r="V296" i="2"/>
  <c r="U296" i="2"/>
  <c r="Q296" i="2"/>
  <c r="P296" i="2"/>
  <c r="O296" i="2"/>
  <c r="M296" i="2"/>
  <c r="L296" i="2"/>
  <c r="J296" i="2"/>
  <c r="H296" i="2"/>
  <c r="G296" i="2"/>
  <c r="F296" i="2"/>
  <c r="E296" i="2"/>
  <c r="D296" i="2"/>
  <c r="C296" i="2"/>
  <c r="X295" i="2"/>
  <c r="W295" i="2"/>
  <c r="V295" i="2"/>
  <c r="U295" i="2"/>
  <c r="Q295" i="2"/>
  <c r="P295" i="2"/>
  <c r="O295" i="2"/>
  <c r="M295" i="2"/>
  <c r="L295" i="2"/>
  <c r="J295" i="2"/>
  <c r="F295" i="2"/>
  <c r="E295" i="2"/>
  <c r="D295" i="2"/>
  <c r="C295" i="2"/>
  <c r="X294" i="2"/>
  <c r="W294" i="2"/>
  <c r="V294" i="2"/>
  <c r="U294" i="2"/>
  <c r="Q294" i="2"/>
  <c r="P294" i="2"/>
  <c r="O294" i="2"/>
  <c r="M294" i="2"/>
  <c r="L294" i="2"/>
  <c r="J294" i="2"/>
  <c r="F294" i="2"/>
  <c r="E294" i="2"/>
  <c r="D294" i="2"/>
  <c r="C294" i="2"/>
  <c r="X293" i="2"/>
  <c r="W293" i="2"/>
  <c r="V293" i="2"/>
  <c r="U293" i="2"/>
  <c r="Q293" i="2"/>
  <c r="P293" i="2"/>
  <c r="O293" i="2"/>
  <c r="M293" i="2"/>
  <c r="L293" i="2"/>
  <c r="J293" i="2"/>
  <c r="F293" i="2"/>
  <c r="E293" i="2"/>
  <c r="D293" i="2"/>
  <c r="C293" i="2"/>
  <c r="X292" i="2"/>
  <c r="W292" i="2"/>
  <c r="V292" i="2"/>
  <c r="U292" i="2"/>
  <c r="Q292" i="2"/>
  <c r="P292" i="2"/>
  <c r="O292" i="2"/>
  <c r="M292" i="2"/>
  <c r="L292" i="2"/>
  <c r="J292" i="2"/>
  <c r="F292" i="2"/>
  <c r="E292" i="2"/>
  <c r="D292" i="2"/>
  <c r="C292" i="2"/>
  <c r="X291" i="2"/>
  <c r="W291" i="2"/>
  <c r="V291" i="2"/>
  <c r="U291" i="2"/>
  <c r="Q291" i="2"/>
  <c r="P291" i="2"/>
  <c r="O291" i="2"/>
  <c r="M291" i="2"/>
  <c r="L291" i="2"/>
  <c r="J291" i="2"/>
  <c r="F291" i="2"/>
  <c r="E291" i="2"/>
  <c r="D291" i="2"/>
  <c r="C291" i="2"/>
  <c r="X290" i="2"/>
  <c r="W290" i="2"/>
  <c r="V290" i="2"/>
  <c r="U290" i="2"/>
  <c r="Q290" i="2"/>
  <c r="P290" i="2"/>
  <c r="O290" i="2"/>
  <c r="M290" i="2"/>
  <c r="L290" i="2"/>
  <c r="J290" i="2"/>
  <c r="F290" i="2"/>
  <c r="E290" i="2"/>
  <c r="D290" i="2"/>
  <c r="C290" i="2"/>
  <c r="X289" i="2"/>
  <c r="W289" i="2"/>
  <c r="V289" i="2"/>
  <c r="U289" i="2"/>
  <c r="Q289" i="2"/>
  <c r="P289" i="2"/>
  <c r="O289" i="2"/>
  <c r="M289" i="2"/>
  <c r="L289" i="2"/>
  <c r="J289" i="2"/>
  <c r="F289" i="2"/>
  <c r="E289" i="2"/>
  <c r="D289" i="2"/>
  <c r="C289" i="2"/>
  <c r="X288" i="2"/>
  <c r="W288" i="2"/>
  <c r="V288" i="2"/>
  <c r="U288" i="2"/>
  <c r="Q288" i="2"/>
  <c r="P288" i="2"/>
  <c r="O288" i="2"/>
  <c r="M288" i="2"/>
  <c r="L288" i="2"/>
  <c r="J288" i="2"/>
  <c r="F288" i="2"/>
  <c r="E288" i="2"/>
  <c r="D288" i="2"/>
  <c r="C288" i="2"/>
  <c r="X287" i="2"/>
  <c r="W287" i="2"/>
  <c r="V287" i="2"/>
  <c r="U287" i="2"/>
  <c r="Q287" i="2"/>
  <c r="P287" i="2"/>
  <c r="O287" i="2"/>
  <c r="M287" i="2"/>
  <c r="L287" i="2"/>
  <c r="J287" i="2"/>
  <c r="F287" i="2"/>
  <c r="E287" i="2"/>
  <c r="D287" i="2"/>
  <c r="C287" i="2"/>
  <c r="X286" i="2"/>
  <c r="W286" i="2"/>
  <c r="V286" i="2"/>
  <c r="U286" i="2"/>
  <c r="Q286" i="2"/>
  <c r="P286" i="2"/>
  <c r="O286" i="2"/>
  <c r="M286" i="2"/>
  <c r="L286" i="2"/>
  <c r="J286" i="2"/>
  <c r="F286" i="2"/>
  <c r="E286" i="2"/>
  <c r="D286" i="2"/>
  <c r="C286" i="2"/>
  <c r="X285" i="2"/>
  <c r="W285" i="2"/>
  <c r="V285" i="2"/>
  <c r="U285" i="2"/>
  <c r="Q285" i="2"/>
  <c r="P285" i="2"/>
  <c r="O285" i="2"/>
  <c r="M285" i="2"/>
  <c r="L285" i="2"/>
  <c r="J285" i="2"/>
  <c r="F285" i="2"/>
  <c r="E285" i="2"/>
  <c r="D285" i="2"/>
  <c r="C285" i="2"/>
  <c r="X284" i="2"/>
  <c r="W284" i="2"/>
  <c r="V284" i="2"/>
  <c r="U284" i="2"/>
  <c r="Q284" i="2"/>
  <c r="P284" i="2"/>
  <c r="O284" i="2"/>
  <c r="M284" i="2"/>
  <c r="L284" i="2"/>
  <c r="J284" i="2"/>
  <c r="F284" i="2"/>
  <c r="E284" i="2"/>
  <c r="D284" i="2"/>
  <c r="C284" i="2"/>
  <c r="X283" i="2"/>
  <c r="W283" i="2"/>
  <c r="V283" i="2"/>
  <c r="U283" i="2"/>
  <c r="Q283" i="2"/>
  <c r="P283" i="2"/>
  <c r="O283" i="2"/>
  <c r="M283" i="2"/>
  <c r="L283" i="2"/>
  <c r="J283" i="2"/>
  <c r="F283" i="2"/>
  <c r="E283" i="2"/>
  <c r="D283" i="2"/>
  <c r="C283" i="2"/>
  <c r="X282" i="2"/>
  <c r="W282" i="2"/>
  <c r="V282" i="2"/>
  <c r="U282" i="2"/>
  <c r="Q282" i="2"/>
  <c r="P282" i="2"/>
  <c r="O282" i="2"/>
  <c r="M282" i="2"/>
  <c r="L282" i="2"/>
  <c r="J282" i="2"/>
  <c r="F282" i="2"/>
  <c r="E282" i="2"/>
  <c r="D282" i="2"/>
  <c r="C282" i="2"/>
  <c r="X281" i="2"/>
  <c r="W281" i="2"/>
  <c r="V281" i="2"/>
  <c r="U281" i="2"/>
  <c r="Q281" i="2"/>
  <c r="P281" i="2"/>
  <c r="O281" i="2"/>
  <c r="M281" i="2"/>
  <c r="L281" i="2"/>
  <c r="J281" i="2"/>
  <c r="F281" i="2"/>
  <c r="E281" i="2"/>
  <c r="D281" i="2"/>
  <c r="C281" i="2"/>
  <c r="X280" i="2"/>
  <c r="W280" i="2"/>
  <c r="V280" i="2"/>
  <c r="U280" i="2"/>
  <c r="Q280" i="2"/>
  <c r="P280" i="2"/>
  <c r="O280" i="2"/>
  <c r="M280" i="2"/>
  <c r="L280" i="2"/>
  <c r="J280" i="2"/>
  <c r="F280" i="2"/>
  <c r="E280" i="2"/>
  <c r="D280" i="2"/>
  <c r="C280" i="2"/>
  <c r="X279" i="2"/>
  <c r="W279" i="2"/>
  <c r="V279" i="2"/>
  <c r="U279" i="2"/>
  <c r="Q279" i="2"/>
  <c r="P279" i="2"/>
  <c r="O279" i="2"/>
  <c r="M279" i="2"/>
  <c r="L279" i="2"/>
  <c r="J279" i="2"/>
  <c r="F279" i="2"/>
  <c r="E279" i="2"/>
  <c r="D279" i="2"/>
  <c r="C279" i="2"/>
  <c r="X278" i="2"/>
  <c r="W278" i="2"/>
  <c r="V278" i="2"/>
  <c r="U278" i="2"/>
  <c r="Q278" i="2"/>
  <c r="P278" i="2"/>
  <c r="O278" i="2"/>
  <c r="M278" i="2"/>
  <c r="L278" i="2"/>
  <c r="J278" i="2"/>
  <c r="F278" i="2"/>
  <c r="E278" i="2"/>
  <c r="D278" i="2"/>
  <c r="C278" i="2"/>
  <c r="X277" i="2"/>
  <c r="W277" i="2"/>
  <c r="V277" i="2"/>
  <c r="U277" i="2"/>
  <c r="Q277" i="2"/>
  <c r="P277" i="2"/>
  <c r="O277" i="2"/>
  <c r="M277" i="2"/>
  <c r="L277" i="2"/>
  <c r="J277" i="2"/>
  <c r="F277" i="2"/>
  <c r="E277" i="2"/>
  <c r="D277" i="2"/>
  <c r="C277" i="2"/>
  <c r="X276" i="2"/>
  <c r="W276" i="2"/>
  <c r="V276" i="2"/>
  <c r="U276" i="2"/>
  <c r="Q276" i="2"/>
  <c r="P276" i="2"/>
  <c r="O276" i="2"/>
  <c r="M276" i="2"/>
  <c r="L276" i="2"/>
  <c r="J276" i="2"/>
  <c r="F276" i="2"/>
  <c r="E276" i="2"/>
  <c r="D276" i="2"/>
  <c r="C276" i="2"/>
  <c r="X275" i="2"/>
  <c r="W275" i="2"/>
  <c r="V275" i="2"/>
  <c r="U275" i="2"/>
  <c r="Q275" i="2"/>
  <c r="P275" i="2"/>
  <c r="O275" i="2"/>
  <c r="M275" i="2"/>
  <c r="L275" i="2"/>
  <c r="J275" i="2"/>
  <c r="F275" i="2"/>
  <c r="E275" i="2"/>
  <c r="D275" i="2"/>
  <c r="C275" i="2"/>
  <c r="X274" i="2"/>
  <c r="W274" i="2"/>
  <c r="V274" i="2"/>
  <c r="U274" i="2"/>
  <c r="Q274" i="2"/>
  <c r="P274" i="2"/>
  <c r="O274" i="2"/>
  <c r="M274" i="2"/>
  <c r="L274" i="2"/>
  <c r="J274" i="2"/>
  <c r="F274" i="2"/>
  <c r="E274" i="2"/>
  <c r="D274" i="2"/>
  <c r="C274" i="2"/>
  <c r="X273" i="2"/>
  <c r="W273" i="2"/>
  <c r="V273" i="2"/>
  <c r="U273" i="2"/>
  <c r="Q273" i="2"/>
  <c r="P273" i="2"/>
  <c r="O273" i="2"/>
  <c r="M273" i="2"/>
  <c r="L273" i="2"/>
  <c r="J273" i="2"/>
  <c r="F273" i="2"/>
  <c r="E273" i="2"/>
  <c r="D273" i="2"/>
  <c r="C273" i="2"/>
  <c r="X272" i="2"/>
  <c r="W272" i="2"/>
  <c r="V272" i="2"/>
  <c r="U272" i="2"/>
  <c r="Q272" i="2"/>
  <c r="P272" i="2"/>
  <c r="O272" i="2"/>
  <c r="M272" i="2"/>
  <c r="L272" i="2"/>
  <c r="J272" i="2"/>
  <c r="F272" i="2"/>
  <c r="E272" i="2"/>
  <c r="D272" i="2"/>
  <c r="C272" i="2"/>
  <c r="X271" i="2"/>
  <c r="W271" i="2"/>
  <c r="V271" i="2"/>
  <c r="U271" i="2"/>
  <c r="Q271" i="2"/>
  <c r="P271" i="2"/>
  <c r="O271" i="2"/>
  <c r="M271" i="2"/>
  <c r="L271" i="2"/>
  <c r="J271" i="2"/>
  <c r="F271" i="2"/>
  <c r="E271" i="2"/>
  <c r="D271" i="2"/>
  <c r="C271" i="2"/>
  <c r="X270" i="2"/>
  <c r="W270" i="2"/>
  <c r="V270" i="2"/>
  <c r="U270" i="2"/>
  <c r="Q270" i="2"/>
  <c r="P270" i="2"/>
  <c r="O270" i="2"/>
  <c r="M270" i="2"/>
  <c r="L270" i="2"/>
  <c r="J270" i="2"/>
  <c r="F270" i="2"/>
  <c r="E270" i="2"/>
  <c r="D270" i="2"/>
  <c r="C270" i="2"/>
  <c r="X269" i="2"/>
  <c r="W269" i="2"/>
  <c r="V269" i="2"/>
  <c r="U269" i="2"/>
  <c r="Q269" i="2"/>
  <c r="P269" i="2"/>
  <c r="O269" i="2"/>
  <c r="M269" i="2"/>
  <c r="L269" i="2"/>
  <c r="J269" i="2"/>
  <c r="F269" i="2"/>
  <c r="E269" i="2"/>
  <c r="D269" i="2"/>
  <c r="C269" i="2"/>
  <c r="X268" i="2"/>
  <c r="W268" i="2"/>
  <c r="V268" i="2"/>
  <c r="U268" i="2"/>
  <c r="Q268" i="2"/>
  <c r="P268" i="2"/>
  <c r="O268" i="2"/>
  <c r="M268" i="2"/>
  <c r="L268" i="2"/>
  <c r="J268" i="2"/>
  <c r="F268" i="2"/>
  <c r="E268" i="2"/>
  <c r="D268" i="2"/>
  <c r="C268" i="2"/>
  <c r="X267" i="2"/>
  <c r="W267" i="2"/>
  <c r="V267" i="2"/>
  <c r="U267" i="2"/>
  <c r="Q267" i="2"/>
  <c r="P267" i="2"/>
  <c r="O267" i="2"/>
  <c r="M267" i="2"/>
  <c r="L267" i="2"/>
  <c r="J267" i="2"/>
  <c r="F267" i="2"/>
  <c r="E267" i="2"/>
  <c r="D267" i="2"/>
  <c r="C267" i="2"/>
  <c r="X266" i="2"/>
  <c r="W266" i="2"/>
  <c r="V266" i="2"/>
  <c r="U266" i="2"/>
  <c r="Q266" i="2"/>
  <c r="P266" i="2"/>
  <c r="O266" i="2"/>
  <c r="M266" i="2"/>
  <c r="L266" i="2"/>
  <c r="J266" i="2"/>
  <c r="F266" i="2"/>
  <c r="E266" i="2"/>
  <c r="D266" i="2"/>
  <c r="C266" i="2"/>
  <c r="X265" i="2"/>
  <c r="W265" i="2"/>
  <c r="V265" i="2"/>
  <c r="U265" i="2"/>
  <c r="Q265" i="2"/>
  <c r="P265" i="2"/>
  <c r="O265" i="2"/>
  <c r="M265" i="2"/>
  <c r="L265" i="2"/>
  <c r="J265" i="2"/>
  <c r="F265" i="2"/>
  <c r="E265" i="2"/>
  <c r="D265" i="2"/>
  <c r="C265" i="2"/>
  <c r="X264" i="2"/>
  <c r="W264" i="2"/>
  <c r="V264" i="2"/>
  <c r="U264" i="2"/>
  <c r="Q264" i="2"/>
  <c r="P264" i="2"/>
  <c r="O264" i="2"/>
  <c r="M264" i="2"/>
  <c r="L264" i="2"/>
  <c r="J264" i="2"/>
  <c r="F264" i="2"/>
  <c r="E264" i="2"/>
  <c r="D264" i="2"/>
  <c r="C264" i="2"/>
  <c r="X263" i="2"/>
  <c r="W263" i="2"/>
  <c r="V263" i="2"/>
  <c r="U263" i="2"/>
  <c r="Q263" i="2"/>
  <c r="P263" i="2"/>
  <c r="O263" i="2"/>
  <c r="M263" i="2"/>
  <c r="L263" i="2"/>
  <c r="J263" i="2"/>
  <c r="F263" i="2"/>
  <c r="E263" i="2"/>
  <c r="D263" i="2"/>
  <c r="C263" i="2"/>
  <c r="X262" i="2"/>
  <c r="W262" i="2"/>
  <c r="V262" i="2"/>
  <c r="U262" i="2"/>
  <c r="Q262" i="2"/>
  <c r="P262" i="2"/>
  <c r="O262" i="2"/>
  <c r="M262" i="2"/>
  <c r="L262" i="2"/>
  <c r="J262" i="2"/>
  <c r="F262" i="2"/>
  <c r="E262" i="2"/>
  <c r="D262" i="2"/>
  <c r="C262" i="2"/>
  <c r="X261" i="2"/>
  <c r="W261" i="2"/>
  <c r="V261" i="2"/>
  <c r="U261" i="2"/>
  <c r="Q261" i="2"/>
  <c r="P261" i="2"/>
  <c r="O261" i="2"/>
  <c r="M261" i="2"/>
  <c r="L261" i="2"/>
  <c r="J261" i="2"/>
  <c r="F261" i="2"/>
  <c r="E261" i="2"/>
  <c r="D261" i="2"/>
  <c r="C261" i="2"/>
  <c r="X260" i="2"/>
  <c r="W260" i="2"/>
  <c r="V260" i="2"/>
  <c r="U260" i="2"/>
  <c r="Q260" i="2"/>
  <c r="P260" i="2"/>
  <c r="O260" i="2"/>
  <c r="M260" i="2"/>
  <c r="L260" i="2"/>
  <c r="J260" i="2"/>
  <c r="F260" i="2"/>
  <c r="E260" i="2"/>
  <c r="D260" i="2"/>
  <c r="C260" i="2"/>
  <c r="X259" i="2"/>
  <c r="W259" i="2"/>
  <c r="V259" i="2"/>
  <c r="U259" i="2"/>
  <c r="Q259" i="2"/>
  <c r="P259" i="2"/>
  <c r="O259" i="2"/>
  <c r="M259" i="2"/>
  <c r="L259" i="2"/>
  <c r="J259" i="2"/>
  <c r="F259" i="2"/>
  <c r="E259" i="2"/>
  <c r="D259" i="2"/>
  <c r="C259" i="2"/>
  <c r="X258" i="2"/>
  <c r="W258" i="2"/>
  <c r="V258" i="2"/>
  <c r="U258" i="2"/>
  <c r="Q258" i="2"/>
  <c r="P258" i="2"/>
  <c r="O258" i="2"/>
  <c r="M258" i="2"/>
  <c r="L258" i="2"/>
  <c r="J258" i="2"/>
  <c r="F258" i="2"/>
  <c r="E258" i="2"/>
  <c r="D258" i="2"/>
  <c r="C258" i="2"/>
  <c r="X257" i="2"/>
  <c r="W257" i="2"/>
  <c r="V257" i="2"/>
  <c r="U257" i="2"/>
  <c r="Q257" i="2"/>
  <c r="P257" i="2"/>
  <c r="O257" i="2"/>
  <c r="M257" i="2"/>
  <c r="L257" i="2"/>
  <c r="J257" i="2"/>
  <c r="F257" i="2"/>
  <c r="E257" i="2"/>
  <c r="D257" i="2"/>
  <c r="C257" i="2"/>
  <c r="X256" i="2"/>
  <c r="W256" i="2"/>
  <c r="V256" i="2"/>
  <c r="U256" i="2"/>
  <c r="Q256" i="2"/>
  <c r="P256" i="2"/>
  <c r="O256" i="2"/>
  <c r="M256" i="2"/>
  <c r="L256" i="2"/>
  <c r="J256" i="2"/>
  <c r="F256" i="2"/>
  <c r="E256" i="2"/>
  <c r="D256" i="2"/>
  <c r="C256" i="2"/>
  <c r="X255" i="2"/>
  <c r="W255" i="2"/>
  <c r="V255" i="2"/>
  <c r="U255" i="2"/>
  <c r="Q255" i="2"/>
  <c r="P255" i="2"/>
  <c r="O255" i="2"/>
  <c r="M255" i="2"/>
  <c r="L255" i="2"/>
  <c r="J255" i="2"/>
  <c r="F255" i="2"/>
  <c r="E255" i="2"/>
  <c r="D255" i="2"/>
  <c r="C255" i="2"/>
  <c r="X254" i="2"/>
  <c r="W254" i="2"/>
  <c r="V254" i="2"/>
  <c r="U254" i="2"/>
  <c r="Q254" i="2"/>
  <c r="P254" i="2"/>
  <c r="O254" i="2"/>
  <c r="M254" i="2"/>
  <c r="L254" i="2"/>
  <c r="J254" i="2"/>
  <c r="F254" i="2"/>
  <c r="E254" i="2"/>
  <c r="D254" i="2"/>
  <c r="C254" i="2"/>
  <c r="X253" i="2"/>
  <c r="W253" i="2"/>
  <c r="V253" i="2"/>
  <c r="U253" i="2"/>
  <c r="Q253" i="2"/>
  <c r="P253" i="2"/>
  <c r="O253" i="2"/>
  <c r="M253" i="2"/>
  <c r="L253" i="2"/>
  <c r="J253" i="2"/>
  <c r="F253" i="2"/>
  <c r="E253" i="2"/>
  <c r="D253" i="2"/>
  <c r="C253" i="2"/>
  <c r="X252" i="2"/>
  <c r="W252" i="2"/>
  <c r="V252" i="2"/>
  <c r="U252" i="2"/>
  <c r="Q252" i="2"/>
  <c r="P252" i="2"/>
  <c r="O252" i="2"/>
  <c r="M252" i="2"/>
  <c r="L252" i="2"/>
  <c r="J252" i="2"/>
  <c r="F252" i="2"/>
  <c r="E252" i="2"/>
  <c r="D252" i="2"/>
  <c r="C252" i="2"/>
  <c r="X251" i="2"/>
  <c r="W251" i="2"/>
  <c r="V251" i="2"/>
  <c r="U251" i="2"/>
  <c r="Q251" i="2"/>
  <c r="P251" i="2"/>
  <c r="O251" i="2"/>
  <c r="M251" i="2"/>
  <c r="L251" i="2"/>
  <c r="J251" i="2"/>
  <c r="F251" i="2"/>
  <c r="E251" i="2"/>
  <c r="D251" i="2"/>
  <c r="C251" i="2"/>
  <c r="X250" i="2"/>
  <c r="W250" i="2"/>
  <c r="V250" i="2"/>
  <c r="U250" i="2"/>
  <c r="Q250" i="2"/>
  <c r="P250" i="2"/>
  <c r="O250" i="2"/>
  <c r="M250" i="2"/>
  <c r="L250" i="2"/>
  <c r="J250" i="2"/>
  <c r="F250" i="2"/>
  <c r="E250" i="2"/>
  <c r="D250" i="2"/>
  <c r="C250" i="2"/>
  <c r="X249" i="2"/>
  <c r="W249" i="2"/>
  <c r="V249" i="2"/>
  <c r="U249" i="2"/>
  <c r="Q249" i="2"/>
  <c r="P249" i="2"/>
  <c r="O249" i="2"/>
  <c r="M249" i="2"/>
  <c r="L249" i="2"/>
  <c r="J249" i="2"/>
  <c r="F249" i="2"/>
  <c r="E249" i="2"/>
  <c r="D249" i="2"/>
  <c r="C249" i="2"/>
  <c r="X248" i="2"/>
  <c r="W248" i="2"/>
  <c r="V248" i="2"/>
  <c r="U248" i="2"/>
  <c r="Q248" i="2"/>
  <c r="P248" i="2"/>
  <c r="O248" i="2"/>
  <c r="M248" i="2"/>
  <c r="L248" i="2"/>
  <c r="J248" i="2"/>
  <c r="F248" i="2"/>
  <c r="E248" i="2"/>
  <c r="D248" i="2"/>
  <c r="C248" i="2"/>
  <c r="X247" i="2"/>
  <c r="W247" i="2"/>
  <c r="V247" i="2"/>
  <c r="U247" i="2"/>
  <c r="Q247" i="2"/>
  <c r="P247" i="2"/>
  <c r="O247" i="2"/>
  <c r="M247" i="2"/>
  <c r="L247" i="2"/>
  <c r="J247" i="2"/>
  <c r="F247" i="2"/>
  <c r="E247" i="2"/>
  <c r="D247" i="2"/>
  <c r="C247" i="2"/>
  <c r="X246" i="2"/>
  <c r="W246" i="2"/>
  <c r="V246" i="2"/>
  <c r="U246" i="2"/>
  <c r="Q246" i="2"/>
  <c r="P246" i="2"/>
  <c r="O246" i="2"/>
  <c r="M246" i="2"/>
  <c r="L246" i="2"/>
  <c r="J246" i="2"/>
  <c r="F246" i="2"/>
  <c r="E246" i="2"/>
  <c r="D246" i="2"/>
  <c r="C246" i="2"/>
  <c r="X245" i="2"/>
  <c r="W245" i="2"/>
  <c r="V245" i="2"/>
  <c r="U245" i="2"/>
  <c r="Q245" i="2"/>
  <c r="P245" i="2"/>
  <c r="O245" i="2"/>
  <c r="M245" i="2"/>
  <c r="L245" i="2"/>
  <c r="J245" i="2"/>
  <c r="F245" i="2"/>
  <c r="E245" i="2"/>
  <c r="D245" i="2"/>
  <c r="C245" i="2"/>
  <c r="X244" i="2"/>
  <c r="W244" i="2"/>
  <c r="V244" i="2"/>
  <c r="U244" i="2"/>
  <c r="Q244" i="2"/>
  <c r="P244" i="2"/>
  <c r="O244" i="2"/>
  <c r="M244" i="2"/>
  <c r="L244" i="2"/>
  <c r="J244" i="2"/>
  <c r="F244" i="2"/>
  <c r="E244" i="2"/>
  <c r="D244" i="2"/>
  <c r="C244" i="2"/>
  <c r="X243" i="2"/>
  <c r="W243" i="2"/>
  <c r="V243" i="2"/>
  <c r="U243" i="2"/>
  <c r="Q243" i="2"/>
  <c r="P243" i="2"/>
  <c r="O243" i="2"/>
  <c r="M243" i="2"/>
  <c r="L243" i="2"/>
  <c r="J243" i="2"/>
  <c r="F243" i="2"/>
  <c r="E243" i="2"/>
  <c r="D243" i="2"/>
  <c r="C243" i="2"/>
  <c r="X242" i="2"/>
  <c r="W242" i="2"/>
  <c r="V242" i="2"/>
  <c r="U242" i="2"/>
  <c r="Q242" i="2"/>
  <c r="P242" i="2"/>
  <c r="O242" i="2"/>
  <c r="M242" i="2"/>
  <c r="L242" i="2"/>
  <c r="J242" i="2"/>
  <c r="F242" i="2"/>
  <c r="E242" i="2"/>
  <c r="D242" i="2"/>
  <c r="C242" i="2"/>
  <c r="X241" i="2"/>
  <c r="W241" i="2"/>
  <c r="V241" i="2"/>
  <c r="U241" i="2"/>
  <c r="Q241" i="2"/>
  <c r="P241" i="2"/>
  <c r="O241" i="2"/>
  <c r="M241" i="2"/>
  <c r="L241" i="2"/>
  <c r="J241" i="2"/>
  <c r="F241" i="2"/>
  <c r="E241" i="2"/>
  <c r="D241" i="2"/>
  <c r="C241" i="2"/>
  <c r="X240" i="2"/>
  <c r="W240" i="2"/>
  <c r="V240" i="2"/>
  <c r="U240" i="2"/>
  <c r="Q240" i="2"/>
  <c r="P240" i="2"/>
  <c r="O240" i="2"/>
  <c r="M240" i="2"/>
  <c r="L240" i="2"/>
  <c r="J240" i="2"/>
  <c r="F240" i="2"/>
  <c r="E240" i="2"/>
  <c r="D240" i="2"/>
  <c r="C240" i="2"/>
  <c r="X239" i="2"/>
  <c r="W239" i="2"/>
  <c r="V239" i="2"/>
  <c r="U239" i="2"/>
  <c r="Q239" i="2"/>
  <c r="P239" i="2"/>
  <c r="O239" i="2"/>
  <c r="M239" i="2"/>
  <c r="L239" i="2"/>
  <c r="J239" i="2"/>
  <c r="F239" i="2"/>
  <c r="E239" i="2"/>
  <c r="D239" i="2"/>
  <c r="C239" i="2"/>
  <c r="X238" i="2"/>
  <c r="W238" i="2"/>
  <c r="V238" i="2"/>
  <c r="U238" i="2"/>
  <c r="Q238" i="2"/>
  <c r="P238" i="2"/>
  <c r="O238" i="2"/>
  <c r="M238" i="2"/>
  <c r="L238" i="2"/>
  <c r="J238" i="2"/>
  <c r="F238" i="2"/>
  <c r="E238" i="2"/>
  <c r="D238" i="2"/>
  <c r="C238" i="2"/>
  <c r="X237" i="2"/>
  <c r="W237" i="2"/>
  <c r="V237" i="2"/>
  <c r="U237" i="2"/>
  <c r="Q237" i="2"/>
  <c r="P237" i="2"/>
  <c r="O237" i="2"/>
  <c r="M237" i="2"/>
  <c r="L237" i="2"/>
  <c r="J237" i="2"/>
  <c r="F237" i="2"/>
  <c r="E237" i="2"/>
  <c r="D237" i="2"/>
  <c r="C237" i="2"/>
  <c r="X236" i="2"/>
  <c r="W236" i="2"/>
  <c r="V236" i="2"/>
  <c r="U236" i="2"/>
  <c r="Q236" i="2"/>
  <c r="P236" i="2"/>
  <c r="O236" i="2"/>
  <c r="M236" i="2"/>
  <c r="L236" i="2"/>
  <c r="J236" i="2"/>
  <c r="F236" i="2"/>
  <c r="E236" i="2"/>
  <c r="D236" i="2"/>
  <c r="C236" i="2"/>
  <c r="X235" i="2"/>
  <c r="W235" i="2"/>
  <c r="V235" i="2"/>
  <c r="U235" i="2"/>
  <c r="Q235" i="2"/>
  <c r="P235" i="2"/>
  <c r="O235" i="2"/>
  <c r="M235" i="2"/>
  <c r="L235" i="2"/>
  <c r="J235" i="2"/>
  <c r="F235" i="2"/>
  <c r="E235" i="2"/>
  <c r="D235" i="2"/>
  <c r="C235" i="2"/>
  <c r="X234" i="2"/>
  <c r="W234" i="2"/>
  <c r="V234" i="2"/>
  <c r="U234" i="2"/>
  <c r="Q234" i="2"/>
  <c r="P234" i="2"/>
  <c r="O234" i="2"/>
  <c r="M234" i="2"/>
  <c r="L234" i="2"/>
  <c r="J234" i="2"/>
  <c r="F234" i="2"/>
  <c r="E234" i="2"/>
  <c r="D234" i="2"/>
  <c r="C234" i="2"/>
  <c r="X233" i="2"/>
  <c r="W233" i="2"/>
  <c r="V233" i="2"/>
  <c r="U233" i="2"/>
  <c r="Q233" i="2"/>
  <c r="P233" i="2"/>
  <c r="O233" i="2"/>
  <c r="M233" i="2"/>
  <c r="L233" i="2"/>
  <c r="J233" i="2"/>
  <c r="F233" i="2"/>
  <c r="E233" i="2"/>
  <c r="D233" i="2"/>
  <c r="C233" i="2"/>
  <c r="X232" i="2"/>
  <c r="W232" i="2"/>
  <c r="V232" i="2"/>
  <c r="U232" i="2"/>
  <c r="Q232" i="2"/>
  <c r="P232" i="2"/>
  <c r="O232" i="2"/>
  <c r="M232" i="2"/>
  <c r="L232" i="2"/>
  <c r="J232" i="2"/>
  <c r="F232" i="2"/>
  <c r="E232" i="2"/>
  <c r="D232" i="2"/>
  <c r="C232" i="2"/>
  <c r="X231" i="2"/>
  <c r="W231" i="2"/>
  <c r="V231" i="2"/>
  <c r="U231" i="2"/>
  <c r="Q231" i="2"/>
  <c r="P231" i="2"/>
  <c r="O231" i="2"/>
  <c r="M231" i="2"/>
  <c r="L231" i="2"/>
  <c r="J231" i="2"/>
  <c r="F231" i="2"/>
  <c r="E231" i="2"/>
  <c r="D231" i="2"/>
  <c r="C231" i="2"/>
  <c r="X230" i="2"/>
  <c r="W230" i="2"/>
  <c r="V230" i="2"/>
  <c r="U230" i="2"/>
  <c r="Q230" i="2"/>
  <c r="P230" i="2"/>
  <c r="O230" i="2"/>
  <c r="M230" i="2"/>
  <c r="L230" i="2"/>
  <c r="J230" i="2"/>
  <c r="F230" i="2"/>
  <c r="E230" i="2"/>
  <c r="D230" i="2"/>
  <c r="C230" i="2"/>
  <c r="X229" i="2"/>
  <c r="W229" i="2"/>
  <c r="V229" i="2"/>
  <c r="U229" i="2"/>
  <c r="Q229" i="2"/>
  <c r="P229" i="2"/>
  <c r="O229" i="2"/>
  <c r="M229" i="2"/>
  <c r="L229" i="2"/>
  <c r="J229" i="2"/>
  <c r="F229" i="2"/>
  <c r="E229" i="2"/>
  <c r="D229" i="2"/>
  <c r="C229" i="2"/>
  <c r="X228" i="2"/>
  <c r="W228" i="2"/>
  <c r="V228" i="2"/>
  <c r="U228" i="2"/>
  <c r="Q228" i="2"/>
  <c r="P228" i="2"/>
  <c r="O228" i="2"/>
  <c r="M228" i="2"/>
  <c r="L228" i="2"/>
  <c r="J228" i="2"/>
  <c r="F228" i="2"/>
  <c r="E228" i="2"/>
  <c r="D228" i="2"/>
  <c r="C228" i="2"/>
  <c r="X227" i="2"/>
  <c r="W227" i="2"/>
  <c r="V227" i="2"/>
  <c r="U227" i="2"/>
  <c r="Q227" i="2"/>
  <c r="P227" i="2"/>
  <c r="O227" i="2"/>
  <c r="M227" i="2"/>
  <c r="L227" i="2"/>
  <c r="J227" i="2"/>
  <c r="F227" i="2"/>
  <c r="E227" i="2"/>
  <c r="D227" i="2"/>
  <c r="C227" i="2"/>
  <c r="X226" i="2"/>
  <c r="W226" i="2"/>
  <c r="V226" i="2"/>
  <c r="U226" i="2"/>
  <c r="Q226" i="2"/>
  <c r="P226" i="2"/>
  <c r="O226" i="2"/>
  <c r="M226" i="2"/>
  <c r="L226" i="2"/>
  <c r="J226" i="2"/>
  <c r="F226" i="2"/>
  <c r="E226" i="2"/>
  <c r="D226" i="2"/>
  <c r="C226" i="2"/>
  <c r="X225" i="2"/>
  <c r="W225" i="2"/>
  <c r="V225" i="2"/>
  <c r="U225" i="2"/>
  <c r="Q225" i="2"/>
  <c r="P225" i="2"/>
  <c r="O225" i="2"/>
  <c r="M225" i="2"/>
  <c r="L225" i="2"/>
  <c r="J225" i="2"/>
  <c r="F225" i="2"/>
  <c r="E225" i="2"/>
  <c r="D225" i="2"/>
  <c r="C225" i="2"/>
  <c r="X224" i="2"/>
  <c r="W224" i="2"/>
  <c r="V224" i="2"/>
  <c r="U224" i="2"/>
  <c r="Q224" i="2"/>
  <c r="P224" i="2"/>
  <c r="O224" i="2"/>
  <c r="M224" i="2"/>
  <c r="L224" i="2"/>
  <c r="J224" i="2"/>
  <c r="F224" i="2"/>
  <c r="E224" i="2"/>
  <c r="D224" i="2"/>
  <c r="C224" i="2"/>
  <c r="X223" i="2"/>
  <c r="W223" i="2"/>
  <c r="V223" i="2"/>
  <c r="U223" i="2"/>
  <c r="Q223" i="2"/>
  <c r="P223" i="2"/>
  <c r="O223" i="2"/>
  <c r="M223" i="2"/>
  <c r="L223" i="2"/>
  <c r="J223" i="2"/>
  <c r="F223" i="2"/>
  <c r="E223" i="2"/>
  <c r="D223" i="2"/>
  <c r="C223" i="2"/>
  <c r="X222" i="2"/>
  <c r="W222" i="2"/>
  <c r="V222" i="2"/>
  <c r="U222" i="2"/>
  <c r="Q222" i="2"/>
  <c r="P222" i="2"/>
  <c r="O222" i="2"/>
  <c r="M222" i="2"/>
  <c r="L222" i="2"/>
  <c r="J222" i="2"/>
  <c r="F222" i="2"/>
  <c r="E222" i="2"/>
  <c r="D222" i="2"/>
  <c r="C222" i="2"/>
  <c r="X221" i="2"/>
  <c r="W221" i="2"/>
  <c r="V221" i="2"/>
  <c r="U221" i="2"/>
  <c r="Q221" i="2"/>
  <c r="P221" i="2"/>
  <c r="O221" i="2"/>
  <c r="M221" i="2"/>
  <c r="L221" i="2"/>
  <c r="J221" i="2"/>
  <c r="F221" i="2"/>
  <c r="E221" i="2"/>
  <c r="D221" i="2"/>
  <c r="C221" i="2"/>
  <c r="X220" i="2"/>
  <c r="W220" i="2"/>
  <c r="V220" i="2"/>
  <c r="U220" i="2"/>
  <c r="Q220" i="2"/>
  <c r="P220" i="2"/>
  <c r="O220" i="2"/>
  <c r="M220" i="2"/>
  <c r="L220" i="2"/>
  <c r="J220" i="2"/>
  <c r="F220" i="2"/>
  <c r="E220" i="2"/>
  <c r="D220" i="2"/>
  <c r="C220" i="2"/>
  <c r="X219" i="2"/>
  <c r="W219" i="2"/>
  <c r="V219" i="2"/>
  <c r="U219" i="2"/>
  <c r="Q219" i="2"/>
  <c r="P219" i="2"/>
  <c r="O219" i="2"/>
  <c r="M219" i="2"/>
  <c r="L219" i="2"/>
  <c r="J219" i="2"/>
  <c r="F219" i="2"/>
  <c r="E219" i="2"/>
  <c r="D219" i="2"/>
  <c r="C219" i="2"/>
  <c r="X218" i="2"/>
  <c r="W218" i="2"/>
  <c r="V218" i="2"/>
  <c r="U218" i="2"/>
  <c r="Q218" i="2"/>
  <c r="P218" i="2"/>
  <c r="O218" i="2"/>
  <c r="M218" i="2"/>
  <c r="L218" i="2"/>
  <c r="J218" i="2"/>
  <c r="F218" i="2"/>
  <c r="E218" i="2"/>
  <c r="D218" i="2"/>
  <c r="C218" i="2"/>
  <c r="X217" i="2"/>
  <c r="W217" i="2"/>
  <c r="V217" i="2"/>
  <c r="U217" i="2"/>
  <c r="Q217" i="2"/>
  <c r="P217" i="2"/>
  <c r="O217" i="2"/>
  <c r="M217" i="2"/>
  <c r="L217" i="2"/>
  <c r="J217" i="2"/>
  <c r="F217" i="2"/>
  <c r="E217" i="2"/>
  <c r="D217" i="2"/>
  <c r="C217" i="2"/>
  <c r="X216" i="2"/>
  <c r="W216" i="2"/>
  <c r="V216" i="2"/>
  <c r="U216" i="2"/>
  <c r="Q216" i="2"/>
  <c r="P216" i="2"/>
  <c r="O216" i="2"/>
  <c r="M216" i="2"/>
  <c r="L216" i="2"/>
  <c r="J216" i="2"/>
  <c r="F216" i="2"/>
  <c r="E216" i="2"/>
  <c r="D216" i="2"/>
  <c r="C216" i="2"/>
  <c r="X215" i="2"/>
  <c r="W215" i="2"/>
  <c r="V215" i="2"/>
  <c r="U215" i="2"/>
  <c r="Q215" i="2"/>
  <c r="P215" i="2"/>
  <c r="O215" i="2"/>
  <c r="M215" i="2"/>
  <c r="L215" i="2"/>
  <c r="J215" i="2"/>
  <c r="F215" i="2"/>
  <c r="E215" i="2"/>
  <c r="D215" i="2"/>
  <c r="C215" i="2"/>
  <c r="X214" i="2"/>
  <c r="W214" i="2"/>
  <c r="V214" i="2"/>
  <c r="U214" i="2"/>
  <c r="Q214" i="2"/>
  <c r="P214" i="2"/>
  <c r="O214" i="2"/>
  <c r="M214" i="2"/>
  <c r="L214" i="2"/>
  <c r="J214" i="2"/>
  <c r="F214" i="2"/>
  <c r="E214" i="2"/>
  <c r="D214" i="2"/>
  <c r="C214" i="2"/>
  <c r="X213" i="2"/>
  <c r="W213" i="2"/>
  <c r="V213" i="2"/>
  <c r="U213" i="2"/>
  <c r="Q213" i="2"/>
  <c r="P213" i="2"/>
  <c r="O213" i="2"/>
  <c r="M213" i="2"/>
  <c r="L213" i="2"/>
  <c r="J213" i="2"/>
  <c r="F213" i="2"/>
  <c r="E213" i="2"/>
  <c r="D213" i="2"/>
  <c r="C213" i="2"/>
  <c r="X212" i="2"/>
  <c r="W212" i="2"/>
  <c r="V212" i="2"/>
  <c r="U212" i="2"/>
  <c r="Q212" i="2"/>
  <c r="P212" i="2"/>
  <c r="O212" i="2"/>
  <c r="M212" i="2"/>
  <c r="L212" i="2"/>
  <c r="J212" i="2"/>
  <c r="F212" i="2"/>
  <c r="E212" i="2"/>
  <c r="D212" i="2"/>
  <c r="C212" i="2"/>
  <c r="X211" i="2"/>
  <c r="W211" i="2"/>
  <c r="V211" i="2"/>
  <c r="U211" i="2"/>
  <c r="Q211" i="2"/>
  <c r="P211" i="2"/>
  <c r="O211" i="2"/>
  <c r="M211" i="2"/>
  <c r="L211" i="2"/>
  <c r="J211" i="2"/>
  <c r="F211" i="2"/>
  <c r="E211" i="2"/>
  <c r="D211" i="2"/>
  <c r="C211" i="2"/>
  <c r="X210" i="2"/>
  <c r="W210" i="2"/>
  <c r="V210" i="2"/>
  <c r="U210" i="2"/>
  <c r="Q210" i="2"/>
  <c r="P210" i="2"/>
  <c r="O210" i="2"/>
  <c r="M210" i="2"/>
  <c r="L210" i="2"/>
  <c r="J210" i="2"/>
  <c r="F210" i="2"/>
  <c r="E210" i="2"/>
  <c r="D210" i="2"/>
  <c r="C210" i="2"/>
  <c r="X209" i="2"/>
  <c r="W209" i="2"/>
  <c r="V209" i="2"/>
  <c r="U209" i="2"/>
  <c r="Q209" i="2"/>
  <c r="P209" i="2"/>
  <c r="O209" i="2"/>
  <c r="M209" i="2"/>
  <c r="L209" i="2"/>
  <c r="J209" i="2"/>
  <c r="F209" i="2"/>
  <c r="E209" i="2"/>
  <c r="D209" i="2"/>
  <c r="C209" i="2"/>
  <c r="X208" i="2"/>
  <c r="W208" i="2"/>
  <c r="V208" i="2"/>
  <c r="U208" i="2"/>
  <c r="Q208" i="2"/>
  <c r="P208" i="2"/>
  <c r="O208" i="2"/>
  <c r="M208" i="2"/>
  <c r="L208" i="2"/>
  <c r="J208" i="2"/>
  <c r="F208" i="2"/>
  <c r="E208" i="2"/>
  <c r="D208" i="2"/>
  <c r="C208" i="2"/>
  <c r="X207" i="2"/>
  <c r="W207" i="2"/>
  <c r="V207" i="2"/>
  <c r="U207" i="2"/>
  <c r="Q207" i="2"/>
  <c r="P207" i="2"/>
  <c r="O207" i="2"/>
  <c r="M207" i="2"/>
  <c r="L207" i="2"/>
  <c r="J207" i="2"/>
  <c r="F207" i="2"/>
  <c r="E207" i="2"/>
  <c r="D207" i="2"/>
  <c r="C207" i="2"/>
  <c r="X206" i="2"/>
  <c r="W206" i="2"/>
  <c r="V206" i="2"/>
  <c r="U206" i="2"/>
  <c r="Q206" i="2"/>
  <c r="P206" i="2"/>
  <c r="O206" i="2"/>
  <c r="M206" i="2"/>
  <c r="L206" i="2"/>
  <c r="J206" i="2"/>
  <c r="F206" i="2"/>
  <c r="E206" i="2"/>
  <c r="D206" i="2"/>
  <c r="C206" i="2"/>
  <c r="X205" i="2"/>
  <c r="W205" i="2"/>
  <c r="V205" i="2"/>
  <c r="U205" i="2"/>
  <c r="Q205" i="2"/>
  <c r="P205" i="2"/>
  <c r="O205" i="2"/>
  <c r="M205" i="2"/>
  <c r="L205" i="2"/>
  <c r="J205" i="2"/>
  <c r="F205" i="2"/>
  <c r="E205" i="2"/>
  <c r="D205" i="2"/>
  <c r="C205" i="2"/>
  <c r="X204" i="2"/>
  <c r="W204" i="2"/>
  <c r="V204" i="2"/>
  <c r="U204" i="2"/>
  <c r="Q204" i="2"/>
  <c r="P204" i="2"/>
  <c r="O204" i="2"/>
  <c r="M204" i="2"/>
  <c r="L204" i="2"/>
  <c r="J204" i="2"/>
  <c r="F204" i="2"/>
  <c r="E204" i="2"/>
  <c r="D204" i="2"/>
  <c r="C204" i="2"/>
  <c r="X203" i="2"/>
  <c r="W203" i="2"/>
  <c r="V203" i="2"/>
  <c r="U203" i="2"/>
  <c r="Q203" i="2"/>
  <c r="P203" i="2"/>
  <c r="O203" i="2"/>
  <c r="M203" i="2"/>
  <c r="L203" i="2"/>
  <c r="J203" i="2"/>
  <c r="F203" i="2"/>
  <c r="E203" i="2"/>
  <c r="D203" i="2"/>
  <c r="C203" i="2"/>
  <c r="X202" i="2"/>
  <c r="W202" i="2"/>
  <c r="V202" i="2"/>
  <c r="U202" i="2"/>
  <c r="Q202" i="2"/>
  <c r="P202" i="2"/>
  <c r="O202" i="2"/>
  <c r="M202" i="2"/>
  <c r="L202" i="2"/>
  <c r="J202" i="2"/>
  <c r="F202" i="2"/>
  <c r="E202" i="2"/>
  <c r="D202" i="2"/>
  <c r="C202" i="2"/>
  <c r="X201" i="2"/>
  <c r="W201" i="2"/>
  <c r="V201" i="2"/>
  <c r="U201" i="2"/>
  <c r="Q201" i="2"/>
  <c r="P201" i="2"/>
  <c r="O201" i="2"/>
  <c r="M201" i="2"/>
  <c r="L201" i="2"/>
  <c r="J201" i="2"/>
  <c r="F201" i="2"/>
  <c r="E201" i="2"/>
  <c r="D201" i="2"/>
  <c r="C201" i="2"/>
  <c r="X200" i="2"/>
  <c r="W200" i="2"/>
  <c r="V200" i="2"/>
  <c r="U200" i="2"/>
  <c r="Q200" i="2"/>
  <c r="P200" i="2"/>
  <c r="O200" i="2"/>
  <c r="M200" i="2"/>
  <c r="L200" i="2"/>
  <c r="J200" i="2"/>
  <c r="F200" i="2"/>
  <c r="E200" i="2"/>
  <c r="D200" i="2"/>
  <c r="C200" i="2"/>
  <c r="X199" i="2"/>
  <c r="W199" i="2"/>
  <c r="V199" i="2"/>
  <c r="U199" i="2"/>
  <c r="Q199" i="2"/>
  <c r="P199" i="2"/>
  <c r="O199" i="2"/>
  <c r="M199" i="2"/>
  <c r="L199" i="2"/>
  <c r="J199" i="2"/>
  <c r="F199" i="2"/>
  <c r="E199" i="2"/>
  <c r="D199" i="2"/>
  <c r="C199" i="2"/>
  <c r="X198" i="2"/>
  <c r="W198" i="2"/>
  <c r="V198" i="2"/>
  <c r="U198" i="2"/>
  <c r="Q198" i="2"/>
  <c r="P198" i="2"/>
  <c r="O198" i="2"/>
  <c r="M198" i="2"/>
  <c r="L198" i="2"/>
  <c r="J198" i="2"/>
  <c r="F198" i="2"/>
  <c r="E198" i="2"/>
  <c r="D198" i="2"/>
  <c r="C198" i="2"/>
  <c r="X197" i="2"/>
  <c r="W197" i="2"/>
  <c r="V197" i="2"/>
  <c r="U197" i="2"/>
  <c r="Q197" i="2"/>
  <c r="P197" i="2"/>
  <c r="O197" i="2"/>
  <c r="M197" i="2"/>
  <c r="L197" i="2"/>
  <c r="J197" i="2"/>
  <c r="F197" i="2"/>
  <c r="E197" i="2"/>
  <c r="D197" i="2"/>
  <c r="C197" i="2"/>
  <c r="X196" i="2"/>
  <c r="W196" i="2"/>
  <c r="V196" i="2"/>
  <c r="U196" i="2"/>
  <c r="Q196" i="2"/>
  <c r="P196" i="2"/>
  <c r="O196" i="2"/>
  <c r="M196" i="2"/>
  <c r="L196" i="2"/>
  <c r="J196" i="2"/>
  <c r="F196" i="2"/>
  <c r="E196" i="2"/>
  <c r="D196" i="2"/>
  <c r="C196" i="2"/>
  <c r="X195" i="2"/>
  <c r="W195" i="2"/>
  <c r="V195" i="2"/>
  <c r="U195" i="2"/>
  <c r="Q195" i="2"/>
  <c r="P195" i="2"/>
  <c r="O195" i="2"/>
  <c r="M195" i="2"/>
  <c r="L195" i="2"/>
  <c r="J195" i="2"/>
  <c r="F195" i="2"/>
  <c r="E195" i="2"/>
  <c r="D195" i="2"/>
  <c r="C195" i="2"/>
  <c r="X194" i="2"/>
  <c r="W194" i="2"/>
  <c r="V194" i="2"/>
  <c r="U194" i="2"/>
  <c r="Q194" i="2"/>
  <c r="P194" i="2"/>
  <c r="O194" i="2"/>
  <c r="M194" i="2"/>
  <c r="L194" i="2"/>
  <c r="J194" i="2"/>
  <c r="F194" i="2"/>
  <c r="E194" i="2"/>
  <c r="D194" i="2"/>
  <c r="C194" i="2"/>
  <c r="X193" i="2"/>
  <c r="W193" i="2"/>
  <c r="V193" i="2"/>
  <c r="U193" i="2"/>
  <c r="Q193" i="2"/>
  <c r="P193" i="2"/>
  <c r="O193" i="2"/>
  <c r="M193" i="2"/>
  <c r="L193" i="2"/>
  <c r="J193" i="2"/>
  <c r="F193" i="2"/>
  <c r="E193" i="2"/>
  <c r="D193" i="2"/>
  <c r="C193" i="2"/>
  <c r="X192" i="2"/>
  <c r="W192" i="2"/>
  <c r="V192" i="2"/>
  <c r="U192" i="2"/>
  <c r="Q192" i="2"/>
  <c r="P192" i="2"/>
  <c r="O192" i="2"/>
  <c r="M192" i="2"/>
  <c r="L192" i="2"/>
  <c r="J192" i="2"/>
  <c r="F192" i="2"/>
  <c r="E192" i="2"/>
  <c r="D192" i="2"/>
  <c r="C192" i="2"/>
  <c r="X191" i="2"/>
  <c r="W191" i="2"/>
  <c r="V191" i="2"/>
  <c r="U191" i="2"/>
  <c r="Q191" i="2"/>
  <c r="P191" i="2"/>
  <c r="O191" i="2"/>
  <c r="M191" i="2"/>
  <c r="L191" i="2"/>
  <c r="J191" i="2"/>
  <c r="F191" i="2"/>
  <c r="E191" i="2"/>
  <c r="D191" i="2"/>
  <c r="C191" i="2"/>
  <c r="X190" i="2"/>
  <c r="W190" i="2"/>
  <c r="V190" i="2"/>
  <c r="U190" i="2"/>
  <c r="Q190" i="2"/>
  <c r="P190" i="2"/>
  <c r="O190" i="2"/>
  <c r="M190" i="2"/>
  <c r="L190" i="2"/>
  <c r="J190" i="2"/>
  <c r="F190" i="2"/>
  <c r="E190" i="2"/>
  <c r="D190" i="2"/>
  <c r="C190" i="2"/>
  <c r="X189" i="2"/>
  <c r="W189" i="2"/>
  <c r="V189" i="2"/>
  <c r="U189" i="2"/>
  <c r="Q189" i="2"/>
  <c r="P189" i="2"/>
  <c r="O189" i="2"/>
  <c r="M189" i="2"/>
  <c r="L189" i="2"/>
  <c r="J189" i="2"/>
  <c r="F189" i="2"/>
  <c r="E189" i="2"/>
  <c r="D189" i="2"/>
  <c r="C189" i="2"/>
  <c r="X188" i="2"/>
  <c r="W188" i="2"/>
  <c r="V188" i="2"/>
  <c r="U188" i="2"/>
  <c r="Q188" i="2"/>
  <c r="P188" i="2"/>
  <c r="O188" i="2"/>
  <c r="M188" i="2"/>
  <c r="L188" i="2"/>
  <c r="J188" i="2"/>
  <c r="F188" i="2"/>
  <c r="E188" i="2"/>
  <c r="D188" i="2"/>
  <c r="C188" i="2"/>
  <c r="X187" i="2"/>
  <c r="W187" i="2"/>
  <c r="V187" i="2"/>
  <c r="U187" i="2"/>
  <c r="Q187" i="2"/>
  <c r="P187" i="2"/>
  <c r="O187" i="2"/>
  <c r="M187" i="2"/>
  <c r="L187" i="2"/>
  <c r="J187" i="2"/>
  <c r="F187" i="2"/>
  <c r="E187" i="2"/>
  <c r="D187" i="2"/>
  <c r="C187" i="2"/>
  <c r="X186" i="2"/>
  <c r="W186" i="2"/>
  <c r="V186" i="2"/>
  <c r="U186" i="2"/>
  <c r="Q186" i="2"/>
  <c r="P186" i="2"/>
  <c r="O186" i="2"/>
  <c r="M186" i="2"/>
  <c r="L186" i="2"/>
  <c r="J186" i="2"/>
  <c r="F186" i="2"/>
  <c r="E186" i="2"/>
  <c r="D186" i="2"/>
  <c r="C186" i="2"/>
  <c r="X185" i="2"/>
  <c r="W185" i="2"/>
  <c r="V185" i="2"/>
  <c r="U185" i="2"/>
  <c r="Q185" i="2"/>
  <c r="P185" i="2"/>
  <c r="O185" i="2"/>
  <c r="M185" i="2"/>
  <c r="L185" i="2"/>
  <c r="J185" i="2"/>
  <c r="F185" i="2"/>
  <c r="E185" i="2"/>
  <c r="D185" i="2"/>
  <c r="C185" i="2"/>
  <c r="X184" i="2"/>
  <c r="W184" i="2"/>
  <c r="V184" i="2"/>
  <c r="U184" i="2"/>
  <c r="Q184" i="2"/>
  <c r="P184" i="2"/>
  <c r="O184" i="2"/>
  <c r="M184" i="2"/>
  <c r="L184" i="2"/>
  <c r="J184" i="2"/>
  <c r="F184" i="2"/>
  <c r="E184" i="2"/>
  <c r="D184" i="2"/>
  <c r="C184" i="2"/>
  <c r="X183" i="2"/>
  <c r="W183" i="2"/>
  <c r="V183" i="2"/>
  <c r="U183" i="2"/>
  <c r="Q183" i="2"/>
  <c r="P183" i="2"/>
  <c r="O183" i="2"/>
  <c r="M183" i="2"/>
  <c r="L183" i="2"/>
  <c r="J183" i="2"/>
  <c r="F183" i="2"/>
  <c r="E183" i="2"/>
  <c r="D183" i="2"/>
  <c r="C183" i="2"/>
  <c r="X182" i="2"/>
  <c r="W182" i="2"/>
  <c r="V182" i="2"/>
  <c r="U182" i="2"/>
  <c r="Q182" i="2"/>
  <c r="P182" i="2"/>
  <c r="O182" i="2"/>
  <c r="M182" i="2"/>
  <c r="L182" i="2"/>
  <c r="J182" i="2"/>
  <c r="F182" i="2"/>
  <c r="E182" i="2"/>
  <c r="D182" i="2"/>
  <c r="C182" i="2"/>
  <c r="X181" i="2"/>
  <c r="W181" i="2"/>
  <c r="V181" i="2"/>
  <c r="U181" i="2"/>
  <c r="Q181" i="2"/>
  <c r="P181" i="2"/>
  <c r="O181" i="2"/>
  <c r="M181" i="2"/>
  <c r="L181" i="2"/>
  <c r="J181" i="2"/>
  <c r="F181" i="2"/>
  <c r="E181" i="2"/>
  <c r="D181" i="2"/>
  <c r="C181" i="2"/>
  <c r="X180" i="2"/>
  <c r="W180" i="2"/>
  <c r="V180" i="2"/>
  <c r="U180" i="2"/>
  <c r="Q180" i="2"/>
  <c r="P180" i="2"/>
  <c r="O180" i="2"/>
  <c r="M180" i="2"/>
  <c r="L180" i="2"/>
  <c r="J180" i="2"/>
  <c r="F180" i="2"/>
  <c r="E180" i="2"/>
  <c r="D180" i="2"/>
  <c r="C180" i="2"/>
  <c r="X179" i="2"/>
  <c r="W179" i="2"/>
  <c r="V179" i="2"/>
  <c r="U179" i="2"/>
  <c r="Q179" i="2"/>
  <c r="P179" i="2"/>
  <c r="O179" i="2"/>
  <c r="M179" i="2"/>
  <c r="L179" i="2"/>
  <c r="J179" i="2"/>
  <c r="F179" i="2"/>
  <c r="E179" i="2"/>
  <c r="D179" i="2"/>
  <c r="C179" i="2"/>
  <c r="X178" i="2"/>
  <c r="W178" i="2"/>
  <c r="V178" i="2"/>
  <c r="U178" i="2"/>
  <c r="Q178" i="2"/>
  <c r="P178" i="2"/>
  <c r="O178" i="2"/>
  <c r="M178" i="2"/>
  <c r="L178" i="2"/>
  <c r="J178" i="2"/>
  <c r="F178" i="2"/>
  <c r="E178" i="2"/>
  <c r="D178" i="2"/>
  <c r="C178" i="2"/>
  <c r="X177" i="2"/>
  <c r="W177" i="2"/>
  <c r="V177" i="2"/>
  <c r="U177" i="2"/>
  <c r="Q177" i="2"/>
  <c r="P177" i="2"/>
  <c r="O177" i="2"/>
  <c r="M177" i="2"/>
  <c r="L177" i="2"/>
  <c r="J177" i="2"/>
  <c r="F177" i="2"/>
  <c r="E177" i="2"/>
  <c r="D177" i="2"/>
  <c r="C177" i="2"/>
  <c r="X176" i="2"/>
  <c r="W176" i="2"/>
  <c r="V176" i="2"/>
  <c r="U176" i="2"/>
  <c r="Q176" i="2"/>
  <c r="P176" i="2"/>
  <c r="O176" i="2"/>
  <c r="M176" i="2"/>
  <c r="L176" i="2"/>
  <c r="J176" i="2"/>
  <c r="F176" i="2"/>
  <c r="E176" i="2"/>
  <c r="D176" i="2"/>
  <c r="C176" i="2"/>
  <c r="X175" i="2"/>
  <c r="W175" i="2"/>
  <c r="V175" i="2"/>
  <c r="U175" i="2"/>
  <c r="Q175" i="2"/>
  <c r="P175" i="2"/>
  <c r="O175" i="2"/>
  <c r="M175" i="2"/>
  <c r="L175" i="2"/>
  <c r="J175" i="2"/>
  <c r="F175" i="2"/>
  <c r="E175" i="2"/>
  <c r="D175" i="2"/>
  <c r="C175" i="2"/>
  <c r="X174" i="2"/>
  <c r="W174" i="2"/>
  <c r="V174" i="2"/>
  <c r="U174" i="2"/>
  <c r="Q174" i="2"/>
  <c r="P174" i="2"/>
  <c r="O174" i="2"/>
  <c r="M174" i="2"/>
  <c r="L174" i="2"/>
  <c r="J174" i="2"/>
  <c r="F174" i="2"/>
  <c r="E174" i="2"/>
  <c r="D174" i="2"/>
  <c r="C174" i="2"/>
  <c r="X173" i="2"/>
  <c r="W173" i="2"/>
  <c r="V173" i="2"/>
  <c r="U173" i="2"/>
  <c r="Q173" i="2"/>
  <c r="P173" i="2"/>
  <c r="O173" i="2"/>
  <c r="M173" i="2"/>
  <c r="L173" i="2"/>
  <c r="J173" i="2"/>
  <c r="F173" i="2"/>
  <c r="E173" i="2"/>
  <c r="D173" i="2"/>
  <c r="C173" i="2"/>
  <c r="X172" i="2"/>
  <c r="W172" i="2"/>
  <c r="V172" i="2"/>
  <c r="U172" i="2"/>
  <c r="Q172" i="2"/>
  <c r="P172" i="2"/>
  <c r="O172" i="2"/>
  <c r="M172" i="2"/>
  <c r="L172" i="2"/>
  <c r="J172" i="2"/>
  <c r="F172" i="2"/>
  <c r="E172" i="2"/>
  <c r="D172" i="2"/>
  <c r="C172" i="2"/>
  <c r="X171" i="2"/>
  <c r="W171" i="2"/>
  <c r="V171" i="2"/>
  <c r="U171" i="2"/>
  <c r="Q171" i="2"/>
  <c r="P171" i="2"/>
  <c r="O171" i="2"/>
  <c r="M171" i="2"/>
  <c r="L171" i="2"/>
  <c r="J171" i="2"/>
  <c r="F171" i="2"/>
  <c r="E171" i="2"/>
  <c r="D171" i="2"/>
  <c r="C171" i="2"/>
  <c r="X170" i="2"/>
  <c r="W170" i="2"/>
  <c r="V170" i="2"/>
  <c r="U170" i="2"/>
  <c r="Q170" i="2"/>
  <c r="P170" i="2"/>
  <c r="O170" i="2"/>
  <c r="M170" i="2"/>
  <c r="L170" i="2"/>
  <c r="J170" i="2"/>
  <c r="F170" i="2"/>
  <c r="E170" i="2"/>
  <c r="D170" i="2"/>
  <c r="C170" i="2"/>
  <c r="X169" i="2"/>
  <c r="W169" i="2"/>
  <c r="V169" i="2"/>
  <c r="U169" i="2"/>
  <c r="Q169" i="2"/>
  <c r="P169" i="2"/>
  <c r="O169" i="2"/>
  <c r="M169" i="2"/>
  <c r="L169" i="2"/>
  <c r="J169" i="2"/>
  <c r="F169" i="2"/>
  <c r="E169" i="2"/>
  <c r="D169" i="2"/>
  <c r="C169" i="2"/>
  <c r="X168" i="2"/>
  <c r="W168" i="2"/>
  <c r="V168" i="2"/>
  <c r="U168" i="2"/>
  <c r="Q168" i="2"/>
  <c r="P168" i="2"/>
  <c r="O168" i="2"/>
  <c r="M168" i="2"/>
  <c r="L168" i="2"/>
  <c r="J168" i="2"/>
  <c r="F168" i="2"/>
  <c r="E168" i="2"/>
  <c r="D168" i="2"/>
  <c r="C168" i="2"/>
  <c r="X167" i="2"/>
  <c r="W167" i="2"/>
  <c r="V167" i="2"/>
  <c r="U167" i="2"/>
  <c r="Q167" i="2"/>
  <c r="P167" i="2"/>
  <c r="O167" i="2"/>
  <c r="M167" i="2"/>
  <c r="L167" i="2"/>
  <c r="J167" i="2"/>
  <c r="F167" i="2"/>
  <c r="E167" i="2"/>
  <c r="D167" i="2"/>
  <c r="C167" i="2"/>
  <c r="X166" i="2"/>
  <c r="W166" i="2"/>
  <c r="V166" i="2"/>
  <c r="U166" i="2"/>
  <c r="Q166" i="2"/>
  <c r="P166" i="2"/>
  <c r="O166" i="2"/>
  <c r="M166" i="2"/>
  <c r="L166" i="2"/>
  <c r="J166" i="2"/>
  <c r="F166" i="2"/>
  <c r="E166" i="2"/>
  <c r="D166" i="2"/>
  <c r="C166" i="2"/>
  <c r="X165" i="2"/>
  <c r="W165" i="2"/>
  <c r="V165" i="2"/>
  <c r="U165" i="2"/>
  <c r="Q165" i="2"/>
  <c r="P165" i="2"/>
  <c r="O165" i="2"/>
  <c r="M165" i="2"/>
  <c r="L165" i="2"/>
  <c r="J165" i="2"/>
  <c r="F165" i="2"/>
  <c r="E165" i="2"/>
  <c r="D165" i="2"/>
  <c r="C165" i="2"/>
  <c r="X164" i="2"/>
  <c r="W164" i="2"/>
  <c r="V164" i="2"/>
  <c r="U164" i="2"/>
  <c r="Q164" i="2"/>
  <c r="P164" i="2"/>
  <c r="O164" i="2"/>
  <c r="M164" i="2"/>
  <c r="L164" i="2"/>
  <c r="J164" i="2"/>
  <c r="F164" i="2"/>
  <c r="E164" i="2"/>
  <c r="D164" i="2"/>
  <c r="C164" i="2"/>
  <c r="X163" i="2"/>
  <c r="W163" i="2"/>
  <c r="V163" i="2"/>
  <c r="U163" i="2"/>
  <c r="Q163" i="2"/>
  <c r="P163" i="2"/>
  <c r="O163" i="2"/>
  <c r="M163" i="2"/>
  <c r="L163" i="2"/>
  <c r="J163" i="2"/>
  <c r="F163" i="2"/>
  <c r="E163" i="2"/>
  <c r="D163" i="2"/>
  <c r="C163" i="2"/>
  <c r="X162" i="2"/>
  <c r="W162" i="2"/>
  <c r="V162" i="2"/>
  <c r="U162" i="2"/>
  <c r="Q162" i="2"/>
  <c r="P162" i="2"/>
  <c r="O162" i="2"/>
  <c r="M162" i="2"/>
  <c r="L162" i="2"/>
  <c r="J162" i="2"/>
  <c r="F162" i="2"/>
  <c r="E162" i="2"/>
  <c r="D162" i="2"/>
  <c r="C162" i="2"/>
  <c r="X161" i="2"/>
  <c r="W161" i="2"/>
  <c r="V161" i="2"/>
  <c r="U161" i="2"/>
  <c r="Q161" i="2"/>
  <c r="P161" i="2"/>
  <c r="O161" i="2"/>
  <c r="M161" i="2"/>
  <c r="L161" i="2"/>
  <c r="J161" i="2"/>
  <c r="F161" i="2"/>
  <c r="E161" i="2"/>
  <c r="D161" i="2"/>
  <c r="C161" i="2"/>
  <c r="X160" i="2"/>
  <c r="W160" i="2"/>
  <c r="V160" i="2"/>
  <c r="U160" i="2"/>
  <c r="Q160" i="2"/>
  <c r="P160" i="2"/>
  <c r="O160" i="2"/>
  <c r="M160" i="2"/>
  <c r="L160" i="2"/>
  <c r="J160" i="2"/>
  <c r="F160" i="2"/>
  <c r="E160" i="2"/>
  <c r="D160" i="2"/>
  <c r="C160" i="2"/>
  <c r="X159" i="2"/>
  <c r="W159" i="2"/>
  <c r="V159" i="2"/>
  <c r="U159" i="2"/>
  <c r="Q159" i="2"/>
  <c r="P159" i="2"/>
  <c r="O159" i="2"/>
  <c r="M159" i="2"/>
  <c r="L159" i="2"/>
  <c r="J159" i="2"/>
  <c r="F159" i="2"/>
  <c r="E159" i="2"/>
  <c r="D159" i="2"/>
  <c r="C159" i="2"/>
  <c r="X158" i="2"/>
  <c r="W158" i="2"/>
  <c r="V158" i="2"/>
  <c r="U158" i="2"/>
  <c r="Q158" i="2"/>
  <c r="P158" i="2"/>
  <c r="O158" i="2"/>
  <c r="M158" i="2"/>
  <c r="L158" i="2"/>
  <c r="J158" i="2"/>
  <c r="F158" i="2"/>
  <c r="E158" i="2"/>
  <c r="D158" i="2"/>
  <c r="C158" i="2"/>
  <c r="X157" i="2"/>
  <c r="W157" i="2"/>
  <c r="V157" i="2"/>
  <c r="U157" i="2"/>
  <c r="Q157" i="2"/>
  <c r="P157" i="2"/>
  <c r="O157" i="2"/>
  <c r="M157" i="2"/>
  <c r="L157" i="2"/>
  <c r="J157" i="2"/>
  <c r="F157" i="2"/>
  <c r="E157" i="2"/>
  <c r="D157" i="2"/>
  <c r="C157" i="2"/>
  <c r="X156" i="2"/>
  <c r="W156" i="2"/>
  <c r="V156" i="2"/>
  <c r="U156" i="2"/>
  <c r="Q156" i="2"/>
  <c r="P156" i="2"/>
  <c r="O156" i="2"/>
  <c r="M156" i="2"/>
  <c r="L156" i="2"/>
  <c r="J156" i="2"/>
  <c r="F156" i="2"/>
  <c r="E156" i="2"/>
  <c r="D156" i="2"/>
  <c r="C156" i="2"/>
  <c r="X155" i="2"/>
  <c r="W155" i="2"/>
  <c r="V155" i="2"/>
  <c r="U155" i="2"/>
  <c r="Q155" i="2"/>
  <c r="P155" i="2"/>
  <c r="O155" i="2"/>
  <c r="M155" i="2"/>
  <c r="L155" i="2"/>
  <c r="J155" i="2"/>
  <c r="F155" i="2"/>
  <c r="E155" i="2"/>
  <c r="D155" i="2"/>
  <c r="C155" i="2"/>
  <c r="X154" i="2"/>
  <c r="W154" i="2"/>
  <c r="V154" i="2"/>
  <c r="U154" i="2"/>
  <c r="Q154" i="2"/>
  <c r="P154" i="2"/>
  <c r="O154" i="2"/>
  <c r="M154" i="2"/>
  <c r="L154" i="2"/>
  <c r="J154" i="2"/>
  <c r="F154" i="2"/>
  <c r="E154" i="2"/>
  <c r="D154" i="2"/>
  <c r="C154" i="2"/>
  <c r="X153" i="2"/>
  <c r="W153" i="2"/>
  <c r="V153" i="2"/>
  <c r="U153" i="2"/>
  <c r="Q153" i="2"/>
  <c r="P153" i="2"/>
  <c r="O153" i="2"/>
  <c r="M153" i="2"/>
  <c r="L153" i="2"/>
  <c r="J153" i="2"/>
  <c r="F153" i="2"/>
  <c r="E153" i="2"/>
  <c r="D153" i="2"/>
  <c r="C153" i="2"/>
  <c r="X152" i="2"/>
  <c r="W152" i="2"/>
  <c r="V152" i="2"/>
  <c r="U152" i="2"/>
  <c r="Q152" i="2"/>
  <c r="P152" i="2"/>
  <c r="O152" i="2"/>
  <c r="M152" i="2"/>
  <c r="L152" i="2"/>
  <c r="J152" i="2"/>
  <c r="F152" i="2"/>
  <c r="E152" i="2"/>
  <c r="D152" i="2"/>
  <c r="C152" i="2"/>
  <c r="X151" i="2"/>
  <c r="W151" i="2"/>
  <c r="V151" i="2"/>
  <c r="U151" i="2"/>
  <c r="Q151" i="2"/>
  <c r="P151" i="2"/>
  <c r="O151" i="2"/>
  <c r="M151" i="2"/>
  <c r="L151" i="2"/>
  <c r="J151" i="2"/>
  <c r="F151" i="2"/>
  <c r="E151" i="2"/>
  <c r="D151" i="2"/>
  <c r="C151" i="2"/>
  <c r="X150" i="2"/>
  <c r="W150" i="2"/>
  <c r="V150" i="2"/>
  <c r="U150" i="2"/>
  <c r="Q150" i="2"/>
  <c r="P150" i="2"/>
  <c r="O150" i="2"/>
  <c r="M150" i="2"/>
  <c r="L150" i="2"/>
  <c r="J150" i="2"/>
  <c r="F150" i="2"/>
  <c r="E150" i="2"/>
  <c r="D150" i="2"/>
  <c r="C150" i="2"/>
  <c r="X149" i="2"/>
  <c r="W149" i="2"/>
  <c r="V149" i="2"/>
  <c r="U149" i="2"/>
  <c r="Q149" i="2"/>
  <c r="P149" i="2"/>
  <c r="O149" i="2"/>
  <c r="M149" i="2"/>
  <c r="L149" i="2"/>
  <c r="J149" i="2"/>
  <c r="F149" i="2"/>
  <c r="E149" i="2"/>
  <c r="D149" i="2"/>
  <c r="C149" i="2"/>
  <c r="X148" i="2"/>
  <c r="W148" i="2"/>
  <c r="V148" i="2"/>
  <c r="U148" i="2"/>
  <c r="Q148" i="2"/>
  <c r="P148" i="2"/>
  <c r="O148" i="2"/>
  <c r="M148" i="2"/>
  <c r="L148" i="2"/>
  <c r="J148" i="2"/>
  <c r="F148" i="2"/>
  <c r="E148" i="2"/>
  <c r="D148" i="2"/>
  <c r="C148" i="2"/>
  <c r="X147" i="2"/>
  <c r="W147" i="2"/>
  <c r="V147" i="2"/>
  <c r="U147" i="2"/>
  <c r="Q147" i="2"/>
  <c r="P147" i="2"/>
  <c r="O147" i="2"/>
  <c r="M147" i="2"/>
  <c r="L147" i="2"/>
  <c r="J147" i="2"/>
  <c r="F147" i="2"/>
  <c r="E147" i="2"/>
  <c r="D147" i="2"/>
  <c r="C147" i="2"/>
  <c r="X146" i="2"/>
  <c r="W146" i="2"/>
  <c r="V146" i="2"/>
  <c r="U146" i="2"/>
  <c r="Q146" i="2"/>
  <c r="P146" i="2"/>
  <c r="O146" i="2"/>
  <c r="M146" i="2"/>
  <c r="L146" i="2"/>
  <c r="J146" i="2"/>
  <c r="F146" i="2"/>
  <c r="E146" i="2"/>
  <c r="D146" i="2"/>
  <c r="C146" i="2"/>
  <c r="X145" i="2"/>
  <c r="W145" i="2"/>
  <c r="V145" i="2"/>
  <c r="U145" i="2"/>
  <c r="Q145" i="2"/>
  <c r="P145" i="2"/>
  <c r="O145" i="2"/>
  <c r="M145" i="2"/>
  <c r="L145" i="2"/>
  <c r="J145" i="2"/>
  <c r="F145" i="2"/>
  <c r="E145" i="2"/>
  <c r="D145" i="2"/>
  <c r="C145" i="2"/>
  <c r="X144" i="2"/>
  <c r="W144" i="2"/>
  <c r="V144" i="2"/>
  <c r="U144" i="2"/>
  <c r="Q144" i="2"/>
  <c r="P144" i="2"/>
  <c r="O144" i="2"/>
  <c r="M144" i="2"/>
  <c r="L144" i="2"/>
  <c r="J144" i="2"/>
  <c r="F144" i="2"/>
  <c r="E144" i="2"/>
  <c r="D144" i="2"/>
  <c r="C144" i="2"/>
  <c r="X143" i="2"/>
  <c r="W143" i="2"/>
  <c r="V143" i="2"/>
  <c r="U143" i="2"/>
  <c r="Q143" i="2"/>
  <c r="P143" i="2"/>
  <c r="O143" i="2"/>
  <c r="M143" i="2"/>
  <c r="L143" i="2"/>
  <c r="J143" i="2"/>
  <c r="F143" i="2"/>
  <c r="E143" i="2"/>
  <c r="D143" i="2"/>
  <c r="C143" i="2"/>
  <c r="X142" i="2"/>
  <c r="W142" i="2"/>
  <c r="V142" i="2"/>
  <c r="U142" i="2"/>
  <c r="Q142" i="2"/>
  <c r="P142" i="2"/>
  <c r="O142" i="2"/>
  <c r="M142" i="2"/>
  <c r="L142" i="2"/>
  <c r="J142" i="2"/>
  <c r="F142" i="2"/>
  <c r="E142" i="2"/>
  <c r="D142" i="2"/>
  <c r="C142" i="2"/>
  <c r="X141" i="2"/>
  <c r="W141" i="2"/>
  <c r="V141" i="2"/>
  <c r="U141" i="2"/>
  <c r="Q141" i="2"/>
  <c r="P141" i="2"/>
  <c r="O141" i="2"/>
  <c r="M141" i="2"/>
  <c r="L141" i="2"/>
  <c r="J141" i="2"/>
  <c r="F141" i="2"/>
  <c r="E141" i="2"/>
  <c r="D141" i="2"/>
  <c r="C141" i="2"/>
  <c r="X140" i="2"/>
  <c r="W140" i="2"/>
  <c r="V140" i="2"/>
  <c r="U140" i="2"/>
  <c r="Q140" i="2"/>
  <c r="P140" i="2"/>
  <c r="O140" i="2"/>
  <c r="M140" i="2"/>
  <c r="L140" i="2"/>
  <c r="J140" i="2"/>
  <c r="F140" i="2"/>
  <c r="E140" i="2"/>
  <c r="D140" i="2"/>
  <c r="C140" i="2"/>
  <c r="X139" i="2"/>
  <c r="W139" i="2"/>
  <c r="V139" i="2"/>
  <c r="U139" i="2"/>
  <c r="Q139" i="2"/>
  <c r="P139" i="2"/>
  <c r="O139" i="2"/>
  <c r="M139" i="2"/>
  <c r="L139" i="2"/>
  <c r="J139" i="2"/>
  <c r="F139" i="2"/>
  <c r="E139" i="2"/>
  <c r="D139" i="2"/>
  <c r="C139" i="2"/>
  <c r="X138" i="2"/>
  <c r="W138" i="2"/>
  <c r="V138" i="2"/>
  <c r="U138" i="2"/>
  <c r="Q138" i="2"/>
  <c r="P138" i="2"/>
  <c r="O138" i="2"/>
  <c r="M138" i="2"/>
  <c r="L138" i="2"/>
  <c r="J138" i="2"/>
  <c r="F138" i="2"/>
  <c r="E138" i="2"/>
  <c r="D138" i="2"/>
  <c r="C138" i="2"/>
  <c r="X137" i="2"/>
  <c r="W137" i="2"/>
  <c r="V137" i="2"/>
  <c r="U137" i="2"/>
  <c r="Q137" i="2"/>
  <c r="P137" i="2"/>
  <c r="O137" i="2"/>
  <c r="M137" i="2"/>
  <c r="L137" i="2"/>
  <c r="J137" i="2"/>
  <c r="F137" i="2"/>
  <c r="E137" i="2"/>
  <c r="D137" i="2"/>
  <c r="C137" i="2"/>
  <c r="X136" i="2"/>
  <c r="W136" i="2"/>
  <c r="V136" i="2"/>
  <c r="U136" i="2"/>
  <c r="Q136" i="2"/>
  <c r="P136" i="2"/>
  <c r="O136" i="2"/>
  <c r="M136" i="2"/>
  <c r="L136" i="2"/>
  <c r="J136" i="2"/>
  <c r="F136" i="2"/>
  <c r="E136" i="2"/>
  <c r="D136" i="2"/>
  <c r="C136" i="2"/>
  <c r="X135" i="2"/>
  <c r="W135" i="2"/>
  <c r="V135" i="2"/>
  <c r="U135" i="2"/>
  <c r="Q135" i="2"/>
  <c r="P135" i="2"/>
  <c r="O135" i="2"/>
  <c r="M135" i="2"/>
  <c r="L135" i="2"/>
  <c r="J135" i="2"/>
  <c r="F135" i="2"/>
  <c r="E135" i="2"/>
  <c r="D135" i="2"/>
  <c r="C135" i="2"/>
  <c r="X134" i="2"/>
  <c r="W134" i="2"/>
  <c r="V134" i="2"/>
  <c r="U134" i="2"/>
  <c r="Q134" i="2"/>
  <c r="P134" i="2"/>
  <c r="O134" i="2"/>
  <c r="M134" i="2"/>
  <c r="L134" i="2"/>
  <c r="J134" i="2"/>
  <c r="F134" i="2"/>
  <c r="E134" i="2"/>
  <c r="D134" i="2"/>
  <c r="C134" i="2"/>
  <c r="X133" i="2"/>
  <c r="W133" i="2"/>
  <c r="V133" i="2"/>
  <c r="U133" i="2"/>
  <c r="Q133" i="2"/>
  <c r="P133" i="2"/>
  <c r="O133" i="2"/>
  <c r="M133" i="2"/>
  <c r="L133" i="2"/>
  <c r="J133" i="2"/>
  <c r="F133" i="2"/>
  <c r="E133" i="2"/>
  <c r="D133" i="2"/>
  <c r="C133" i="2"/>
  <c r="X132" i="2"/>
  <c r="W132" i="2"/>
  <c r="V132" i="2"/>
  <c r="U132" i="2"/>
  <c r="Q132" i="2"/>
  <c r="P132" i="2"/>
  <c r="O132" i="2"/>
  <c r="M132" i="2"/>
  <c r="L132" i="2"/>
  <c r="J132" i="2"/>
  <c r="F132" i="2"/>
  <c r="E132" i="2"/>
  <c r="D132" i="2"/>
  <c r="C132" i="2"/>
  <c r="X131" i="2"/>
  <c r="W131" i="2"/>
  <c r="V131" i="2"/>
  <c r="U131" i="2"/>
  <c r="Q131" i="2"/>
  <c r="P131" i="2"/>
  <c r="O131" i="2"/>
  <c r="M131" i="2"/>
  <c r="L131" i="2"/>
  <c r="J131" i="2"/>
  <c r="F131" i="2"/>
  <c r="E131" i="2"/>
  <c r="D131" i="2"/>
  <c r="C131" i="2"/>
  <c r="X130" i="2"/>
  <c r="W130" i="2"/>
  <c r="V130" i="2"/>
  <c r="U130" i="2"/>
  <c r="Q130" i="2"/>
  <c r="P130" i="2"/>
  <c r="O130" i="2"/>
  <c r="M130" i="2"/>
  <c r="L130" i="2"/>
  <c r="J130" i="2"/>
  <c r="F130" i="2"/>
  <c r="E130" i="2"/>
  <c r="D130" i="2"/>
  <c r="C130" i="2"/>
  <c r="X129" i="2"/>
  <c r="W129" i="2"/>
  <c r="V129" i="2"/>
  <c r="U129" i="2"/>
  <c r="Q129" i="2"/>
  <c r="P129" i="2"/>
  <c r="O129" i="2"/>
  <c r="M129" i="2"/>
  <c r="L129" i="2"/>
  <c r="J129" i="2"/>
  <c r="F129" i="2"/>
  <c r="E129" i="2"/>
  <c r="D129" i="2"/>
  <c r="C129" i="2"/>
  <c r="X128" i="2"/>
  <c r="W128" i="2"/>
  <c r="V128" i="2"/>
  <c r="U128" i="2"/>
  <c r="Q128" i="2"/>
  <c r="P128" i="2"/>
  <c r="O128" i="2"/>
  <c r="M128" i="2"/>
  <c r="L128" i="2"/>
  <c r="J128" i="2"/>
  <c r="F128" i="2"/>
  <c r="E128" i="2"/>
  <c r="D128" i="2"/>
  <c r="C128" i="2"/>
  <c r="X127" i="2"/>
  <c r="W127" i="2"/>
  <c r="V127" i="2"/>
  <c r="U127" i="2"/>
  <c r="Q127" i="2"/>
  <c r="P127" i="2"/>
  <c r="O127" i="2"/>
  <c r="M127" i="2"/>
  <c r="L127" i="2"/>
  <c r="J127" i="2"/>
  <c r="F127" i="2"/>
  <c r="E127" i="2"/>
  <c r="D127" i="2"/>
  <c r="C127" i="2"/>
  <c r="X126" i="2"/>
  <c r="W126" i="2"/>
  <c r="V126" i="2"/>
  <c r="U126" i="2"/>
  <c r="Q126" i="2"/>
  <c r="P126" i="2"/>
  <c r="O126" i="2"/>
  <c r="M126" i="2"/>
  <c r="L126" i="2"/>
  <c r="J126" i="2"/>
  <c r="F126" i="2"/>
  <c r="E126" i="2"/>
  <c r="D126" i="2"/>
  <c r="C126" i="2"/>
  <c r="X125" i="2"/>
  <c r="W125" i="2"/>
  <c r="V125" i="2"/>
  <c r="U125" i="2"/>
  <c r="Q125" i="2"/>
  <c r="P125" i="2"/>
  <c r="O125" i="2"/>
  <c r="M125" i="2"/>
  <c r="L125" i="2"/>
  <c r="J125" i="2"/>
  <c r="F125" i="2"/>
  <c r="E125" i="2"/>
  <c r="D125" i="2"/>
  <c r="C125" i="2"/>
  <c r="X124" i="2"/>
  <c r="W124" i="2"/>
  <c r="V124" i="2"/>
  <c r="U124" i="2"/>
  <c r="Q124" i="2"/>
  <c r="P124" i="2"/>
  <c r="O124" i="2"/>
  <c r="M124" i="2"/>
  <c r="L124" i="2"/>
  <c r="J124" i="2"/>
  <c r="F124" i="2"/>
  <c r="E124" i="2"/>
  <c r="D124" i="2"/>
  <c r="C124" i="2"/>
  <c r="X123" i="2"/>
  <c r="W123" i="2"/>
  <c r="V123" i="2"/>
  <c r="U123" i="2"/>
  <c r="Q123" i="2"/>
  <c r="P123" i="2"/>
  <c r="O123" i="2"/>
  <c r="M123" i="2"/>
  <c r="L123" i="2"/>
  <c r="J123" i="2"/>
  <c r="F123" i="2"/>
  <c r="E123" i="2"/>
  <c r="D123" i="2"/>
  <c r="C123" i="2"/>
  <c r="X122" i="2"/>
  <c r="W122" i="2"/>
  <c r="V122" i="2"/>
  <c r="U122" i="2"/>
  <c r="Q122" i="2"/>
  <c r="P122" i="2"/>
  <c r="O122" i="2"/>
  <c r="M122" i="2"/>
  <c r="L122" i="2"/>
  <c r="J122" i="2"/>
  <c r="F122" i="2"/>
  <c r="E122" i="2"/>
  <c r="D122" i="2"/>
  <c r="C122" i="2"/>
  <c r="X121" i="2"/>
  <c r="W121" i="2"/>
  <c r="V121" i="2"/>
  <c r="U121" i="2"/>
  <c r="Q121" i="2"/>
  <c r="P121" i="2"/>
  <c r="O121" i="2"/>
  <c r="M121" i="2"/>
  <c r="L121" i="2"/>
  <c r="J121" i="2"/>
  <c r="F121" i="2"/>
  <c r="E121" i="2"/>
  <c r="D121" i="2"/>
  <c r="C121" i="2"/>
  <c r="X120" i="2"/>
  <c r="W120" i="2"/>
  <c r="V120" i="2"/>
  <c r="U120" i="2"/>
  <c r="Q120" i="2"/>
  <c r="P120" i="2"/>
  <c r="O120" i="2"/>
  <c r="M120" i="2"/>
  <c r="L120" i="2"/>
  <c r="J120" i="2"/>
  <c r="F120" i="2"/>
  <c r="E120" i="2"/>
  <c r="D120" i="2"/>
  <c r="C120" i="2"/>
  <c r="X119" i="2"/>
  <c r="W119" i="2"/>
  <c r="V119" i="2"/>
  <c r="U119" i="2"/>
  <c r="Q119" i="2"/>
  <c r="P119" i="2"/>
  <c r="O119" i="2"/>
  <c r="M119" i="2"/>
  <c r="L119" i="2"/>
  <c r="J119" i="2"/>
  <c r="F119" i="2"/>
  <c r="E119" i="2"/>
  <c r="D119" i="2"/>
  <c r="C119" i="2"/>
  <c r="X118" i="2"/>
  <c r="W118" i="2"/>
  <c r="V118" i="2"/>
  <c r="U118" i="2"/>
  <c r="Q118" i="2"/>
  <c r="P118" i="2"/>
  <c r="O118" i="2"/>
  <c r="M118" i="2"/>
  <c r="L118" i="2"/>
  <c r="J118" i="2"/>
  <c r="F118" i="2"/>
  <c r="E118" i="2"/>
  <c r="D118" i="2"/>
  <c r="C118" i="2"/>
  <c r="X117" i="2"/>
  <c r="W117" i="2"/>
  <c r="V117" i="2"/>
  <c r="U117" i="2"/>
  <c r="Q117" i="2"/>
  <c r="P117" i="2"/>
  <c r="O117" i="2"/>
  <c r="M117" i="2"/>
  <c r="L117" i="2"/>
  <c r="J117" i="2"/>
  <c r="F117" i="2"/>
  <c r="E117" i="2"/>
  <c r="D117" i="2"/>
  <c r="C117" i="2"/>
  <c r="X116" i="2"/>
  <c r="W116" i="2"/>
  <c r="V116" i="2"/>
  <c r="U116" i="2"/>
  <c r="Q116" i="2"/>
  <c r="P116" i="2"/>
  <c r="O116" i="2"/>
  <c r="M116" i="2"/>
  <c r="L116" i="2"/>
  <c r="J116" i="2"/>
  <c r="F116" i="2"/>
  <c r="E116" i="2"/>
  <c r="D116" i="2"/>
  <c r="C116" i="2"/>
  <c r="X115" i="2"/>
  <c r="W115" i="2"/>
  <c r="V115" i="2"/>
  <c r="U115" i="2"/>
  <c r="Q115" i="2"/>
  <c r="P115" i="2"/>
  <c r="O115" i="2"/>
  <c r="M115" i="2"/>
  <c r="L115" i="2"/>
  <c r="J115" i="2"/>
  <c r="F115" i="2"/>
  <c r="E115" i="2"/>
  <c r="D115" i="2"/>
  <c r="C115" i="2"/>
  <c r="X114" i="2"/>
  <c r="W114" i="2"/>
  <c r="V114" i="2"/>
  <c r="U114" i="2"/>
  <c r="Q114" i="2"/>
  <c r="P114" i="2"/>
  <c r="O114" i="2"/>
  <c r="M114" i="2"/>
  <c r="L114" i="2"/>
  <c r="J114" i="2"/>
  <c r="F114" i="2"/>
  <c r="E114" i="2"/>
  <c r="D114" i="2"/>
  <c r="C114" i="2"/>
  <c r="X113" i="2"/>
  <c r="W113" i="2"/>
  <c r="V113" i="2"/>
  <c r="U113" i="2"/>
  <c r="Q113" i="2"/>
  <c r="P113" i="2"/>
  <c r="O113" i="2"/>
  <c r="M113" i="2"/>
  <c r="L113" i="2"/>
  <c r="J113" i="2"/>
  <c r="F113" i="2"/>
  <c r="E113" i="2"/>
  <c r="D113" i="2"/>
  <c r="C113" i="2"/>
  <c r="X112" i="2"/>
  <c r="W112" i="2"/>
  <c r="V112" i="2"/>
  <c r="U112" i="2"/>
  <c r="Q112" i="2"/>
  <c r="P112" i="2"/>
  <c r="O112" i="2"/>
  <c r="M112" i="2"/>
  <c r="L112" i="2"/>
  <c r="J112" i="2"/>
  <c r="F112" i="2"/>
  <c r="E112" i="2"/>
  <c r="D112" i="2"/>
  <c r="C112" i="2"/>
  <c r="X111" i="2"/>
  <c r="W111" i="2"/>
  <c r="V111" i="2"/>
  <c r="U111" i="2"/>
  <c r="Q111" i="2"/>
  <c r="P111" i="2"/>
  <c r="O111" i="2"/>
  <c r="M111" i="2"/>
  <c r="L111" i="2"/>
  <c r="J111" i="2"/>
  <c r="F111" i="2"/>
  <c r="E111" i="2"/>
  <c r="D111" i="2"/>
  <c r="C111" i="2"/>
  <c r="X110" i="2"/>
  <c r="W110" i="2"/>
  <c r="V110" i="2"/>
  <c r="U110" i="2"/>
  <c r="Q110" i="2"/>
  <c r="P110" i="2"/>
  <c r="O110" i="2"/>
  <c r="M110" i="2"/>
  <c r="L110" i="2"/>
  <c r="J110" i="2"/>
  <c r="F110" i="2"/>
  <c r="E110" i="2"/>
  <c r="D110" i="2"/>
  <c r="C110" i="2"/>
  <c r="X109" i="2"/>
  <c r="W109" i="2"/>
  <c r="V109" i="2"/>
  <c r="U109" i="2"/>
  <c r="Q109" i="2"/>
  <c r="P109" i="2"/>
  <c r="O109" i="2"/>
  <c r="M109" i="2"/>
  <c r="L109" i="2"/>
  <c r="J109" i="2"/>
  <c r="F109" i="2"/>
  <c r="E109" i="2"/>
  <c r="D109" i="2"/>
  <c r="C109" i="2"/>
  <c r="X108" i="2"/>
  <c r="W108" i="2"/>
  <c r="V108" i="2"/>
  <c r="U108" i="2"/>
  <c r="Q108" i="2"/>
  <c r="P108" i="2"/>
  <c r="O108" i="2"/>
  <c r="M108" i="2"/>
  <c r="L108" i="2"/>
  <c r="J108" i="2"/>
  <c r="F108" i="2"/>
  <c r="E108" i="2"/>
  <c r="D108" i="2"/>
  <c r="C108" i="2"/>
  <c r="X107" i="2"/>
  <c r="W107" i="2"/>
  <c r="V107" i="2"/>
  <c r="U107" i="2"/>
  <c r="Q107" i="2"/>
  <c r="P107" i="2"/>
  <c r="O107" i="2"/>
  <c r="M107" i="2"/>
  <c r="L107" i="2"/>
  <c r="J107" i="2"/>
  <c r="F107" i="2"/>
  <c r="E107" i="2"/>
  <c r="D107" i="2"/>
  <c r="C107" i="2"/>
  <c r="X106" i="2"/>
  <c r="W106" i="2"/>
  <c r="V106" i="2"/>
  <c r="U106" i="2"/>
  <c r="Q106" i="2"/>
  <c r="P106" i="2"/>
  <c r="O106" i="2"/>
  <c r="M106" i="2"/>
  <c r="L106" i="2"/>
  <c r="J106" i="2"/>
  <c r="F106" i="2"/>
  <c r="E106" i="2"/>
  <c r="D106" i="2"/>
  <c r="C106" i="2"/>
  <c r="X105" i="2"/>
  <c r="W105" i="2"/>
  <c r="V105" i="2"/>
  <c r="U105" i="2"/>
  <c r="Q105" i="2"/>
  <c r="P105" i="2"/>
  <c r="O105" i="2"/>
  <c r="M105" i="2"/>
  <c r="L105" i="2"/>
  <c r="J105" i="2"/>
  <c r="F105" i="2"/>
  <c r="E105" i="2"/>
  <c r="D105" i="2"/>
  <c r="C105" i="2"/>
  <c r="X104" i="2"/>
  <c r="W104" i="2"/>
  <c r="V104" i="2"/>
  <c r="U104" i="2"/>
  <c r="Q104" i="2"/>
  <c r="P104" i="2"/>
  <c r="O104" i="2"/>
  <c r="M104" i="2"/>
  <c r="L104" i="2"/>
  <c r="J104" i="2"/>
  <c r="F104" i="2"/>
  <c r="E104" i="2"/>
  <c r="D104" i="2"/>
  <c r="C104" i="2"/>
  <c r="X103" i="2"/>
  <c r="W103" i="2"/>
  <c r="V103" i="2"/>
  <c r="U103" i="2"/>
  <c r="Q103" i="2"/>
  <c r="P103" i="2"/>
  <c r="O103" i="2"/>
  <c r="M103" i="2"/>
  <c r="L103" i="2"/>
  <c r="J103" i="2"/>
  <c r="F103" i="2"/>
  <c r="E103" i="2"/>
  <c r="D103" i="2"/>
  <c r="C103" i="2"/>
  <c r="X102" i="2"/>
  <c r="W102" i="2"/>
  <c r="V102" i="2"/>
  <c r="U102" i="2"/>
  <c r="Q102" i="2"/>
  <c r="P102" i="2"/>
  <c r="O102" i="2"/>
  <c r="M102" i="2"/>
  <c r="L102" i="2"/>
  <c r="J102" i="2"/>
  <c r="F102" i="2"/>
  <c r="E102" i="2"/>
  <c r="D102" i="2"/>
  <c r="C102" i="2"/>
  <c r="X101" i="2"/>
  <c r="W101" i="2"/>
  <c r="V101" i="2"/>
  <c r="U101" i="2"/>
  <c r="Q101" i="2"/>
  <c r="P101" i="2"/>
  <c r="O101" i="2"/>
  <c r="M101" i="2"/>
  <c r="L101" i="2"/>
  <c r="J101" i="2"/>
  <c r="F101" i="2"/>
  <c r="E101" i="2"/>
  <c r="D101" i="2"/>
  <c r="C101" i="2"/>
  <c r="X100" i="2"/>
  <c r="W100" i="2"/>
  <c r="V100" i="2"/>
  <c r="U100" i="2"/>
  <c r="Q100" i="2"/>
  <c r="P100" i="2"/>
  <c r="O100" i="2"/>
  <c r="M100" i="2"/>
  <c r="L100" i="2"/>
  <c r="J100" i="2"/>
  <c r="F100" i="2"/>
  <c r="E100" i="2"/>
  <c r="D100" i="2"/>
  <c r="C100" i="2"/>
  <c r="X99" i="2"/>
  <c r="W99" i="2"/>
  <c r="V99" i="2"/>
  <c r="U99" i="2"/>
  <c r="Q99" i="2"/>
  <c r="P99" i="2"/>
  <c r="O99" i="2"/>
  <c r="M99" i="2"/>
  <c r="L99" i="2"/>
  <c r="J99" i="2"/>
  <c r="F99" i="2"/>
  <c r="E99" i="2"/>
  <c r="D99" i="2"/>
  <c r="C99" i="2"/>
  <c r="X98" i="2"/>
  <c r="W98" i="2"/>
  <c r="V98" i="2"/>
  <c r="U98" i="2"/>
  <c r="Q98" i="2"/>
  <c r="P98" i="2"/>
  <c r="O98" i="2"/>
  <c r="M98" i="2"/>
  <c r="L98" i="2"/>
  <c r="J98" i="2"/>
  <c r="F98" i="2"/>
  <c r="E98" i="2"/>
  <c r="D98" i="2"/>
  <c r="C98" i="2"/>
  <c r="X97" i="2"/>
  <c r="W97" i="2"/>
  <c r="V97" i="2"/>
  <c r="U97" i="2"/>
  <c r="Q97" i="2"/>
  <c r="P97" i="2"/>
  <c r="O97" i="2"/>
  <c r="M97" i="2"/>
  <c r="L97" i="2"/>
  <c r="J97" i="2"/>
  <c r="F97" i="2"/>
  <c r="E97" i="2"/>
  <c r="D97" i="2"/>
  <c r="C97" i="2"/>
  <c r="X96" i="2"/>
  <c r="W96" i="2"/>
  <c r="V96" i="2"/>
  <c r="U96" i="2"/>
  <c r="Q96" i="2"/>
  <c r="P96" i="2"/>
  <c r="O96" i="2"/>
  <c r="M96" i="2"/>
  <c r="L96" i="2"/>
  <c r="J96" i="2"/>
  <c r="F96" i="2"/>
  <c r="E96" i="2"/>
  <c r="D96" i="2"/>
  <c r="C96" i="2"/>
  <c r="X95" i="2"/>
  <c r="W95" i="2"/>
  <c r="V95" i="2"/>
  <c r="U95" i="2"/>
  <c r="Q95" i="2"/>
  <c r="P95" i="2"/>
  <c r="O95" i="2"/>
  <c r="M95" i="2"/>
  <c r="L95" i="2"/>
  <c r="J95" i="2"/>
  <c r="F95" i="2"/>
  <c r="E95" i="2"/>
  <c r="D95" i="2"/>
  <c r="C95" i="2"/>
  <c r="X94" i="2"/>
  <c r="W94" i="2"/>
  <c r="V94" i="2"/>
  <c r="U94" i="2"/>
  <c r="Q94" i="2"/>
  <c r="P94" i="2"/>
  <c r="O94" i="2"/>
  <c r="M94" i="2"/>
  <c r="L94" i="2"/>
  <c r="J94" i="2"/>
  <c r="F94" i="2"/>
  <c r="E94" i="2"/>
  <c r="D94" i="2"/>
  <c r="C94" i="2"/>
  <c r="X93" i="2"/>
  <c r="W93" i="2"/>
  <c r="V93" i="2"/>
  <c r="U93" i="2"/>
  <c r="Q93" i="2"/>
  <c r="P93" i="2"/>
  <c r="O93" i="2"/>
  <c r="M93" i="2"/>
  <c r="L93" i="2"/>
  <c r="J93" i="2"/>
  <c r="F93" i="2"/>
  <c r="E93" i="2"/>
  <c r="D93" i="2"/>
  <c r="C93" i="2"/>
  <c r="X92" i="2"/>
  <c r="W92" i="2"/>
  <c r="V92" i="2"/>
  <c r="U92" i="2"/>
  <c r="Q92" i="2"/>
  <c r="P92" i="2"/>
  <c r="O92" i="2"/>
  <c r="M92" i="2"/>
  <c r="L92" i="2"/>
  <c r="J92" i="2"/>
  <c r="F92" i="2"/>
  <c r="E92" i="2"/>
  <c r="D92" i="2"/>
  <c r="C92" i="2"/>
  <c r="X91" i="2"/>
  <c r="W91" i="2"/>
  <c r="V91" i="2"/>
  <c r="U91" i="2"/>
  <c r="Q91" i="2"/>
  <c r="P91" i="2"/>
  <c r="O91" i="2"/>
  <c r="M91" i="2"/>
  <c r="L91" i="2"/>
  <c r="J91" i="2"/>
  <c r="F91" i="2"/>
  <c r="E91" i="2"/>
  <c r="D91" i="2"/>
  <c r="C91" i="2"/>
  <c r="X90" i="2"/>
  <c r="W90" i="2"/>
  <c r="V90" i="2"/>
  <c r="U90" i="2"/>
  <c r="Q90" i="2"/>
  <c r="P90" i="2"/>
  <c r="O90" i="2"/>
  <c r="M90" i="2"/>
  <c r="L90" i="2"/>
  <c r="J90" i="2"/>
  <c r="F90" i="2"/>
  <c r="E90" i="2"/>
  <c r="D90" i="2"/>
  <c r="C90" i="2"/>
  <c r="X89" i="2"/>
  <c r="W89" i="2"/>
  <c r="V89" i="2"/>
  <c r="U89" i="2"/>
  <c r="Q89" i="2"/>
  <c r="P89" i="2"/>
  <c r="O89" i="2"/>
  <c r="M89" i="2"/>
  <c r="L89" i="2"/>
  <c r="J89" i="2"/>
  <c r="F89" i="2"/>
  <c r="E89" i="2"/>
  <c r="D89" i="2"/>
  <c r="C89" i="2"/>
  <c r="X88" i="2"/>
  <c r="W88" i="2"/>
  <c r="V88" i="2"/>
  <c r="U88" i="2"/>
  <c r="Q88" i="2"/>
  <c r="P88" i="2"/>
  <c r="O88" i="2"/>
  <c r="M88" i="2"/>
  <c r="L88" i="2"/>
  <c r="J88" i="2"/>
  <c r="F88" i="2"/>
  <c r="E88" i="2"/>
  <c r="D88" i="2"/>
  <c r="C88" i="2"/>
  <c r="AC87" i="2"/>
  <c r="AB87" i="2"/>
  <c r="Q87" i="2"/>
  <c r="G87" i="2"/>
  <c r="F87" i="2"/>
  <c r="E87" i="2"/>
  <c r="A87" i="2"/>
  <c r="AC86" i="2"/>
  <c r="AB86" i="2"/>
  <c r="Q86" i="2"/>
  <c r="E86" i="2"/>
  <c r="A86" i="2"/>
  <c r="AC85" i="2"/>
  <c r="AB85" i="2"/>
  <c r="Q85" i="2"/>
  <c r="E85" i="2"/>
  <c r="A85" i="2"/>
  <c r="AC84" i="2"/>
  <c r="AB84" i="2"/>
  <c r="Q84" i="2"/>
  <c r="G84" i="2"/>
  <c r="F84" i="2"/>
  <c r="E84" i="2"/>
  <c r="A84" i="2"/>
  <c r="AC83" i="2"/>
  <c r="AB83" i="2"/>
  <c r="Q83" i="2"/>
  <c r="G83" i="2"/>
  <c r="F83" i="2"/>
  <c r="E83" i="2"/>
  <c r="A83" i="2"/>
  <c r="AC82" i="2"/>
  <c r="AB82" i="2"/>
  <c r="Q82" i="2"/>
  <c r="G82" i="2"/>
  <c r="F82" i="2"/>
  <c r="E82" i="2"/>
  <c r="A82" i="2"/>
  <c r="AC81" i="2"/>
  <c r="AB81" i="2"/>
  <c r="Q81" i="2"/>
  <c r="G81" i="2"/>
  <c r="F81" i="2"/>
  <c r="E81" i="2"/>
  <c r="A81" i="2"/>
  <c r="AC80" i="2"/>
  <c r="AB80" i="2"/>
  <c r="Q80" i="2"/>
  <c r="G80" i="2"/>
  <c r="F80" i="2"/>
  <c r="E80" i="2"/>
  <c r="A80" i="2"/>
  <c r="AC79" i="2"/>
  <c r="AB79" i="2"/>
  <c r="Q79" i="2"/>
  <c r="G79" i="2"/>
  <c r="F79" i="2"/>
  <c r="E79" i="2"/>
  <c r="A79" i="2"/>
  <c r="AC78" i="2"/>
  <c r="AB78" i="2"/>
  <c r="Q78" i="2"/>
  <c r="G78" i="2"/>
  <c r="F78" i="2"/>
  <c r="E78" i="2"/>
  <c r="A78" i="2"/>
  <c r="AC77" i="2"/>
  <c r="AB77" i="2"/>
  <c r="Q77" i="2"/>
  <c r="G77" i="2"/>
  <c r="F77" i="2"/>
  <c r="E77" i="2"/>
  <c r="A77" i="2"/>
  <c r="AC76" i="2"/>
  <c r="AB76" i="2"/>
  <c r="X76" i="2"/>
  <c r="W76" i="2"/>
  <c r="V76" i="2"/>
  <c r="U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C75" i="2"/>
  <c r="AB75" i="2"/>
  <c r="X75" i="2"/>
  <c r="W75" i="2"/>
  <c r="V75" i="2"/>
  <c r="U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AC74" i="2"/>
  <c r="AB74" i="2"/>
  <c r="Q74" i="2"/>
  <c r="F74" i="2"/>
  <c r="E74" i="2"/>
  <c r="A74" i="2"/>
  <c r="AC73" i="2"/>
  <c r="AB73" i="2"/>
  <c r="Q73" i="2"/>
  <c r="E73" i="2"/>
  <c r="A73" i="2"/>
  <c r="AC72" i="2"/>
  <c r="AB72" i="2"/>
  <c r="Q72" i="2"/>
  <c r="F72" i="2"/>
  <c r="E72" i="2"/>
  <c r="A72" i="2"/>
  <c r="AC71" i="2"/>
  <c r="AB71" i="2"/>
  <c r="Q71" i="2"/>
  <c r="G71" i="2"/>
  <c r="F71" i="2"/>
  <c r="E71" i="2"/>
  <c r="A71" i="2"/>
  <c r="AC70" i="2"/>
  <c r="AB70" i="2"/>
  <c r="Q70" i="2"/>
  <c r="F70" i="2"/>
  <c r="E70" i="2"/>
  <c r="A70" i="2"/>
  <c r="AC69" i="2"/>
  <c r="AB69" i="2"/>
  <c r="Q69" i="2"/>
  <c r="G69" i="2"/>
  <c r="F69" i="2"/>
  <c r="E69" i="2"/>
  <c r="A69" i="2"/>
  <c r="AC68" i="2"/>
  <c r="AB68" i="2"/>
  <c r="Q68" i="2"/>
  <c r="G68" i="2"/>
  <c r="F68" i="2"/>
  <c r="E68" i="2"/>
  <c r="A68" i="2"/>
  <c r="AC67" i="2"/>
  <c r="AB67" i="2"/>
  <c r="Q67" i="2"/>
  <c r="F67" i="2"/>
  <c r="E67" i="2"/>
  <c r="A67" i="2"/>
  <c r="AC66" i="2"/>
  <c r="AB66" i="2"/>
  <c r="Q66" i="2"/>
  <c r="G66" i="2"/>
  <c r="F66" i="2"/>
  <c r="E66" i="2"/>
  <c r="A66" i="2"/>
  <c r="AC65" i="2"/>
  <c r="AB65" i="2"/>
  <c r="Q65" i="2"/>
  <c r="G65" i="2"/>
  <c r="F65" i="2"/>
  <c r="E65" i="2"/>
  <c r="A65" i="2"/>
  <c r="AC64" i="2"/>
  <c r="AB64" i="2"/>
  <c r="Z64" i="2"/>
  <c r="Y64" i="2"/>
  <c r="V64" i="2"/>
  <c r="U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C63" i="2"/>
  <c r="AB63" i="2"/>
  <c r="Q63" i="2"/>
  <c r="F63" i="2"/>
  <c r="E63" i="2"/>
  <c r="A63" i="2"/>
  <c r="AC62" i="2"/>
  <c r="AB62" i="2"/>
  <c r="Q62" i="2"/>
  <c r="F62" i="2"/>
  <c r="E62" i="2"/>
  <c r="A62" i="2"/>
  <c r="AC61" i="2"/>
  <c r="AB61" i="2"/>
  <c r="Q61" i="2"/>
  <c r="G61" i="2"/>
  <c r="F61" i="2"/>
  <c r="E61" i="2"/>
  <c r="A61" i="2"/>
  <c r="AC60" i="2"/>
  <c r="AB60" i="2"/>
  <c r="Q60" i="2"/>
  <c r="G60" i="2"/>
  <c r="F60" i="2"/>
  <c r="E60" i="2"/>
  <c r="A60" i="2"/>
  <c r="AC59" i="2"/>
  <c r="AB59" i="2"/>
  <c r="Q59" i="2"/>
  <c r="F59" i="2"/>
  <c r="E59" i="2"/>
  <c r="A59" i="2"/>
  <c r="AC58" i="2"/>
  <c r="AB58" i="2"/>
  <c r="Q58" i="2"/>
  <c r="G58" i="2"/>
  <c r="F58" i="2"/>
  <c r="E58" i="2"/>
  <c r="A58" i="2"/>
  <c r="AC57" i="2"/>
  <c r="AB57" i="2"/>
  <c r="Q57" i="2"/>
  <c r="G57" i="2"/>
  <c r="F57" i="2"/>
  <c r="E57" i="2"/>
  <c r="A57" i="2"/>
  <c r="AC56" i="2"/>
  <c r="AB56" i="2"/>
  <c r="Q56" i="2"/>
  <c r="G56" i="2"/>
  <c r="F56" i="2"/>
  <c r="E56" i="2"/>
  <c r="A56" i="2"/>
  <c r="AC55" i="2"/>
  <c r="AB55" i="2"/>
  <c r="Q55" i="2"/>
  <c r="G55" i="2"/>
  <c r="F55" i="2"/>
  <c r="E55" i="2"/>
  <c r="A55" i="2"/>
  <c r="AC54" i="2"/>
  <c r="AB54" i="2"/>
  <c r="Q54" i="2"/>
  <c r="F54" i="2"/>
  <c r="E54" i="2"/>
  <c r="A54" i="2"/>
  <c r="AC53" i="2"/>
  <c r="AB53" i="2"/>
  <c r="Q53" i="2"/>
  <c r="F53" i="2"/>
  <c r="E53" i="2"/>
  <c r="A53" i="2"/>
  <c r="AC52" i="2"/>
  <c r="AB52" i="2"/>
  <c r="Q52" i="2"/>
  <c r="G52" i="2"/>
  <c r="F52" i="2"/>
  <c r="E52" i="2"/>
  <c r="A52" i="2"/>
  <c r="AC51" i="2"/>
  <c r="AB51" i="2"/>
  <c r="Q51" i="2"/>
  <c r="G51" i="2"/>
  <c r="F51" i="2"/>
  <c r="E51" i="2"/>
  <c r="A51" i="2"/>
  <c r="AC50" i="2"/>
  <c r="AB50" i="2"/>
  <c r="Z50" i="2"/>
  <c r="Y50" i="2"/>
  <c r="V50" i="2"/>
  <c r="U50" i="2"/>
  <c r="R50" i="2"/>
  <c r="Q50" i="2"/>
  <c r="P50" i="2"/>
  <c r="O50" i="2"/>
  <c r="N50" i="2"/>
  <c r="M50" i="2"/>
  <c r="L50" i="2"/>
  <c r="K50" i="2"/>
  <c r="J50" i="2"/>
  <c r="F50" i="2"/>
  <c r="E50" i="2"/>
  <c r="D50" i="2"/>
  <c r="C50" i="2"/>
  <c r="B50" i="2"/>
  <c r="A50" i="2"/>
  <c r="AC49" i="2"/>
  <c r="AB49" i="2"/>
  <c r="Z49" i="2"/>
  <c r="Y49" i="2"/>
  <c r="X49" i="2"/>
  <c r="W49" i="2"/>
  <c r="V49" i="2"/>
  <c r="U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C48" i="2"/>
  <c r="AB48" i="2"/>
  <c r="Z48" i="2"/>
  <c r="Y48" i="2"/>
  <c r="X48" i="2"/>
  <c r="W48" i="2"/>
  <c r="V48" i="2"/>
  <c r="U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C47" i="2"/>
  <c r="AB47" i="2"/>
  <c r="Z47" i="2"/>
  <c r="Y47" i="2"/>
  <c r="X47" i="2"/>
  <c r="W47" i="2"/>
  <c r="V47" i="2"/>
  <c r="U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C46" i="2"/>
  <c r="AB46" i="2"/>
  <c r="Z46" i="2"/>
  <c r="Y46" i="2"/>
  <c r="W46" i="2"/>
  <c r="V46" i="2"/>
  <c r="U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C45" i="2"/>
  <c r="AB45" i="2"/>
  <c r="Z45" i="2"/>
  <c r="Y45" i="2"/>
  <c r="V45" i="2"/>
  <c r="U45" i="2"/>
  <c r="R45" i="2"/>
  <c r="Q45" i="2"/>
  <c r="P45" i="2"/>
  <c r="O45" i="2"/>
  <c r="M45" i="2"/>
  <c r="L45" i="2"/>
  <c r="K45" i="2"/>
  <c r="F45" i="2"/>
  <c r="E45" i="2"/>
  <c r="D45" i="2"/>
  <c r="C45" i="2"/>
  <c r="B45" i="2"/>
  <c r="A45" i="2"/>
  <c r="AC44" i="2"/>
  <c r="AB44" i="2"/>
  <c r="Z44" i="2"/>
  <c r="Y44" i="2"/>
  <c r="V44" i="2"/>
  <c r="U44" i="2"/>
  <c r="R44" i="2"/>
  <c r="Q44" i="2"/>
  <c r="P44" i="2"/>
  <c r="O44" i="2"/>
  <c r="M44" i="2"/>
  <c r="L44" i="2"/>
  <c r="K44" i="2"/>
  <c r="F44" i="2"/>
  <c r="E44" i="2"/>
  <c r="D44" i="2"/>
  <c r="C44" i="2"/>
  <c r="B44" i="2"/>
  <c r="A44" i="2"/>
  <c r="AC43" i="2"/>
  <c r="AB43" i="2"/>
  <c r="Z43" i="2"/>
  <c r="Y43" i="2"/>
  <c r="X43" i="2"/>
  <c r="W43" i="2"/>
  <c r="V43" i="2"/>
  <c r="U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C42" i="2"/>
  <c r="AB42" i="2"/>
  <c r="Z42" i="2"/>
  <c r="Y42" i="2"/>
  <c r="V42" i="2"/>
  <c r="U42" i="2"/>
  <c r="R42" i="2"/>
  <c r="Q42" i="2"/>
  <c r="P42" i="2"/>
  <c r="O42" i="2"/>
  <c r="N42" i="2"/>
  <c r="M42" i="2"/>
  <c r="L42" i="2"/>
  <c r="K42" i="2"/>
  <c r="H42" i="2"/>
  <c r="G42" i="2"/>
  <c r="F42" i="2"/>
  <c r="E42" i="2"/>
  <c r="D42" i="2"/>
  <c r="C42" i="2"/>
  <c r="B42" i="2"/>
  <c r="A42" i="2"/>
  <c r="AC41" i="2"/>
  <c r="AB41" i="2"/>
  <c r="Z41" i="2"/>
  <c r="Y41" i="2"/>
  <c r="X41" i="2"/>
  <c r="W41" i="2"/>
  <c r="V41" i="2"/>
  <c r="U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C40" i="2"/>
  <c r="AB40" i="2"/>
  <c r="Z40" i="2"/>
  <c r="Y40" i="2"/>
  <c r="X40" i="2"/>
  <c r="W40" i="2"/>
  <c r="V40" i="2"/>
  <c r="U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C39" i="2"/>
  <c r="AB39" i="2"/>
  <c r="Z39" i="2"/>
  <c r="Y39" i="2"/>
  <c r="W39" i="2"/>
  <c r="V39" i="2"/>
  <c r="U39" i="2"/>
  <c r="R39" i="2"/>
  <c r="Q39" i="2"/>
  <c r="P39" i="2"/>
  <c r="O39" i="2"/>
  <c r="N39" i="2"/>
  <c r="M39" i="2"/>
  <c r="L39" i="2"/>
  <c r="K39" i="2"/>
  <c r="J39" i="2"/>
  <c r="F39" i="2"/>
  <c r="E39" i="2"/>
  <c r="D39" i="2"/>
  <c r="C39" i="2"/>
  <c r="B39" i="2"/>
  <c r="A39" i="2"/>
  <c r="AC38" i="2"/>
  <c r="AB38" i="2"/>
  <c r="V38" i="2"/>
  <c r="U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X37" i="2"/>
  <c r="W37" i="2"/>
  <c r="V37" i="2"/>
  <c r="U37" i="2"/>
  <c r="Q37" i="2"/>
  <c r="P37" i="2"/>
  <c r="O37" i="2"/>
  <c r="N37" i="2"/>
  <c r="M37" i="2"/>
  <c r="L37" i="2"/>
  <c r="J37" i="2"/>
  <c r="F37" i="2"/>
  <c r="E37" i="2"/>
  <c r="D37" i="2"/>
  <c r="C37" i="2"/>
  <c r="B37" i="2"/>
  <c r="A37" i="2"/>
  <c r="X36" i="2"/>
  <c r="W36" i="2"/>
  <c r="V36" i="2"/>
  <c r="U36" i="2"/>
  <c r="Q36" i="2"/>
  <c r="P36" i="2"/>
  <c r="O36" i="2"/>
  <c r="N36" i="2"/>
  <c r="M36" i="2"/>
  <c r="L36" i="2"/>
  <c r="J36" i="2"/>
  <c r="F36" i="2"/>
  <c r="E36" i="2"/>
  <c r="D36" i="2"/>
  <c r="C36" i="2"/>
  <c r="B36" i="2"/>
  <c r="A36" i="2"/>
  <c r="X35" i="2"/>
  <c r="W35" i="2"/>
  <c r="V35" i="2"/>
  <c r="U35" i="2"/>
  <c r="Q35" i="2"/>
  <c r="P35" i="2"/>
  <c r="O35" i="2"/>
  <c r="N35" i="2"/>
  <c r="M35" i="2"/>
  <c r="L35" i="2"/>
  <c r="J35" i="2"/>
  <c r="F35" i="2"/>
  <c r="E35" i="2"/>
  <c r="D35" i="2"/>
  <c r="C35" i="2"/>
  <c r="B35" i="2"/>
  <c r="A35" i="2"/>
  <c r="X34" i="2"/>
  <c r="W34" i="2"/>
  <c r="V34" i="2"/>
  <c r="U34" i="2"/>
  <c r="Q34" i="2"/>
  <c r="P34" i="2"/>
  <c r="O34" i="2"/>
  <c r="N34" i="2"/>
  <c r="M34" i="2"/>
  <c r="L34" i="2"/>
  <c r="J34" i="2"/>
  <c r="F34" i="2"/>
  <c r="E34" i="2"/>
  <c r="D34" i="2"/>
  <c r="C34" i="2"/>
  <c r="B34" i="2"/>
  <c r="A34" i="2"/>
  <c r="X33" i="2"/>
  <c r="W33" i="2"/>
  <c r="V33" i="2"/>
  <c r="U33" i="2"/>
  <c r="Q33" i="2"/>
  <c r="P33" i="2"/>
  <c r="O33" i="2"/>
  <c r="N33" i="2"/>
  <c r="M33" i="2"/>
  <c r="L33" i="2"/>
  <c r="J33" i="2"/>
  <c r="F33" i="2"/>
  <c r="E33" i="2"/>
  <c r="D33" i="2"/>
  <c r="C33" i="2"/>
  <c r="B33" i="2"/>
  <c r="A33" i="2"/>
  <c r="X32" i="2"/>
  <c r="W32" i="2"/>
  <c r="V32" i="2"/>
  <c r="U32" i="2"/>
  <c r="Q32" i="2"/>
  <c r="P32" i="2"/>
  <c r="O32" i="2"/>
  <c r="N32" i="2"/>
  <c r="M32" i="2"/>
  <c r="L32" i="2"/>
  <c r="J32" i="2"/>
  <c r="F32" i="2"/>
  <c r="E32" i="2"/>
  <c r="D32" i="2"/>
  <c r="C32" i="2"/>
  <c r="B32" i="2"/>
  <c r="A32" i="2"/>
  <c r="X31" i="2"/>
  <c r="W31" i="2"/>
  <c r="V31" i="2"/>
  <c r="U31" i="2"/>
  <c r="Q31" i="2"/>
  <c r="P31" i="2"/>
  <c r="O31" i="2"/>
  <c r="N31" i="2"/>
  <c r="M31" i="2"/>
  <c r="L31" i="2"/>
  <c r="J31" i="2"/>
  <c r="F31" i="2"/>
  <c r="E31" i="2"/>
  <c r="D31" i="2"/>
  <c r="C31" i="2"/>
  <c r="B31" i="2"/>
  <c r="A31" i="2"/>
  <c r="X30" i="2"/>
  <c r="W30" i="2"/>
  <c r="V30" i="2"/>
  <c r="U30" i="2"/>
  <c r="Q30" i="2"/>
  <c r="P30" i="2"/>
  <c r="O30" i="2"/>
  <c r="N30" i="2"/>
  <c r="M30" i="2"/>
  <c r="L30" i="2"/>
  <c r="J30" i="2"/>
  <c r="F30" i="2"/>
  <c r="E30" i="2"/>
  <c r="D30" i="2"/>
  <c r="C30" i="2"/>
  <c r="B30" i="2"/>
  <c r="A30" i="2"/>
  <c r="X29" i="2"/>
  <c r="W29" i="2"/>
  <c r="V29" i="2"/>
  <c r="U29" i="2"/>
  <c r="Q29" i="2"/>
  <c r="P29" i="2"/>
  <c r="O29" i="2"/>
  <c r="N29" i="2"/>
  <c r="M29" i="2"/>
  <c r="L29" i="2"/>
  <c r="J29" i="2"/>
  <c r="F29" i="2"/>
  <c r="E29" i="2"/>
  <c r="D29" i="2"/>
  <c r="C29" i="2"/>
  <c r="B29" i="2"/>
  <c r="A29" i="2"/>
  <c r="X28" i="2"/>
  <c r="W28" i="2"/>
  <c r="V28" i="2"/>
  <c r="U28" i="2"/>
  <c r="Q28" i="2"/>
  <c r="P28" i="2"/>
  <c r="O28" i="2"/>
  <c r="N28" i="2"/>
  <c r="M28" i="2"/>
  <c r="L28" i="2"/>
  <c r="J28" i="2"/>
  <c r="F28" i="2"/>
  <c r="E28" i="2"/>
  <c r="D28" i="2"/>
  <c r="C28" i="2"/>
  <c r="B28" i="2"/>
  <c r="A28" i="2"/>
  <c r="X27" i="2"/>
  <c r="W27" i="2"/>
  <c r="V27" i="2"/>
  <c r="U27" i="2"/>
  <c r="Q27" i="2"/>
  <c r="P27" i="2"/>
  <c r="O27" i="2"/>
  <c r="N27" i="2"/>
  <c r="M27" i="2"/>
  <c r="L27" i="2"/>
  <c r="J27" i="2"/>
  <c r="F27" i="2"/>
  <c r="E27" i="2"/>
  <c r="D27" i="2"/>
  <c r="C27" i="2"/>
  <c r="B27" i="2"/>
  <c r="A27" i="2"/>
  <c r="X26" i="2"/>
  <c r="W26" i="2"/>
  <c r="V26" i="2"/>
  <c r="U26" i="2"/>
  <c r="Q26" i="2"/>
  <c r="P26" i="2"/>
  <c r="O26" i="2"/>
  <c r="N26" i="2"/>
  <c r="M26" i="2"/>
  <c r="L26" i="2"/>
  <c r="J26" i="2"/>
  <c r="F26" i="2"/>
  <c r="E26" i="2"/>
  <c r="D26" i="2"/>
  <c r="C26" i="2"/>
  <c r="B26" i="2"/>
  <c r="A26" i="2"/>
  <c r="X25" i="2"/>
  <c r="W25" i="2"/>
  <c r="V25" i="2"/>
  <c r="U25" i="2"/>
  <c r="Q25" i="2"/>
  <c r="P25" i="2"/>
  <c r="O25" i="2"/>
  <c r="N25" i="2"/>
  <c r="M25" i="2"/>
  <c r="L25" i="2"/>
  <c r="J25" i="2"/>
  <c r="F25" i="2"/>
  <c r="E25" i="2"/>
  <c r="D25" i="2"/>
  <c r="C25" i="2"/>
  <c r="B25" i="2"/>
  <c r="A25" i="2"/>
  <c r="X24" i="2"/>
  <c r="W24" i="2"/>
  <c r="V24" i="2"/>
  <c r="U24" i="2"/>
  <c r="Q24" i="2"/>
  <c r="P24" i="2"/>
  <c r="O24" i="2"/>
  <c r="N24" i="2"/>
  <c r="M24" i="2"/>
  <c r="L24" i="2"/>
  <c r="J24" i="2"/>
  <c r="F24" i="2"/>
  <c r="E24" i="2"/>
  <c r="D24" i="2"/>
  <c r="C24" i="2"/>
  <c r="B24" i="2"/>
  <c r="A24" i="2"/>
  <c r="X23" i="2"/>
  <c r="W23" i="2"/>
  <c r="V23" i="2"/>
  <c r="U23" i="2"/>
  <c r="Q23" i="2"/>
  <c r="P23" i="2"/>
  <c r="O23" i="2"/>
  <c r="N23" i="2"/>
  <c r="M23" i="2"/>
  <c r="L23" i="2"/>
  <c r="J23" i="2"/>
  <c r="F23" i="2"/>
  <c r="E23" i="2"/>
  <c r="D23" i="2"/>
  <c r="C23" i="2"/>
  <c r="B23" i="2"/>
  <c r="A23" i="2"/>
  <c r="X22" i="2"/>
  <c r="W22" i="2"/>
  <c r="V22" i="2"/>
  <c r="U22" i="2"/>
  <c r="Q22" i="2"/>
  <c r="P22" i="2"/>
  <c r="O22" i="2"/>
  <c r="N22" i="2"/>
  <c r="M22" i="2"/>
  <c r="L22" i="2"/>
  <c r="J22" i="2"/>
  <c r="F22" i="2"/>
  <c r="E22" i="2"/>
  <c r="D22" i="2"/>
  <c r="C22" i="2"/>
  <c r="B22" i="2"/>
  <c r="A22" i="2"/>
  <c r="X21" i="2"/>
  <c r="W21" i="2"/>
  <c r="V21" i="2"/>
  <c r="U21" i="2"/>
  <c r="Q21" i="2"/>
  <c r="P21" i="2"/>
  <c r="O21" i="2"/>
  <c r="N21" i="2"/>
  <c r="M21" i="2"/>
  <c r="L21" i="2"/>
  <c r="J21" i="2"/>
  <c r="F21" i="2"/>
  <c r="E21" i="2"/>
  <c r="D21" i="2"/>
  <c r="C21" i="2"/>
  <c r="B21" i="2"/>
  <c r="A21" i="2"/>
  <c r="X20" i="2"/>
  <c r="W20" i="2"/>
  <c r="V20" i="2"/>
  <c r="U20" i="2"/>
  <c r="Q20" i="2"/>
  <c r="P20" i="2"/>
  <c r="O20" i="2"/>
  <c r="N20" i="2"/>
  <c r="M20" i="2"/>
  <c r="L20" i="2"/>
  <c r="J20" i="2"/>
  <c r="F20" i="2"/>
  <c r="E20" i="2"/>
  <c r="D20" i="2"/>
  <c r="C20" i="2"/>
  <c r="B20" i="2"/>
  <c r="A20" i="2"/>
  <c r="X19" i="2"/>
  <c r="W19" i="2"/>
  <c r="V19" i="2"/>
  <c r="U19" i="2"/>
  <c r="Q19" i="2"/>
  <c r="P19" i="2"/>
  <c r="O19" i="2"/>
  <c r="N19" i="2"/>
  <c r="M19" i="2"/>
  <c r="L19" i="2"/>
  <c r="J19" i="2"/>
  <c r="F19" i="2"/>
  <c r="E19" i="2"/>
  <c r="D19" i="2"/>
  <c r="C19" i="2"/>
  <c r="B19" i="2"/>
  <c r="A19" i="2"/>
  <c r="X18" i="2"/>
  <c r="W18" i="2"/>
  <c r="V18" i="2"/>
  <c r="U18" i="2"/>
  <c r="Q18" i="2"/>
  <c r="P18" i="2"/>
  <c r="O18" i="2"/>
  <c r="N18" i="2"/>
  <c r="M18" i="2"/>
  <c r="L18" i="2"/>
  <c r="J18" i="2"/>
  <c r="F18" i="2"/>
  <c r="E18" i="2"/>
  <c r="D18" i="2"/>
  <c r="C18" i="2"/>
  <c r="B18" i="2"/>
  <c r="A18" i="2"/>
  <c r="X17" i="2"/>
  <c r="W17" i="2"/>
  <c r="V17" i="2"/>
  <c r="U17" i="2"/>
  <c r="Q17" i="2"/>
  <c r="P17" i="2"/>
  <c r="O17" i="2"/>
  <c r="N17" i="2"/>
  <c r="M17" i="2"/>
  <c r="L17" i="2"/>
  <c r="J17" i="2"/>
  <c r="F17" i="2"/>
  <c r="E17" i="2"/>
  <c r="D17" i="2"/>
  <c r="C17" i="2"/>
  <c r="B17" i="2"/>
  <c r="A17" i="2"/>
  <c r="X16" i="2"/>
  <c r="W16" i="2"/>
  <c r="V16" i="2"/>
  <c r="U16" i="2"/>
  <c r="Q16" i="2"/>
  <c r="P16" i="2"/>
  <c r="O16" i="2"/>
  <c r="N16" i="2"/>
  <c r="M16" i="2"/>
  <c r="L16" i="2"/>
  <c r="J16" i="2"/>
  <c r="F16" i="2"/>
  <c r="E16" i="2"/>
  <c r="D16" i="2"/>
  <c r="C16" i="2"/>
  <c r="B16" i="2"/>
  <c r="A16" i="2"/>
  <c r="X15" i="2"/>
  <c r="W15" i="2"/>
  <c r="V15" i="2"/>
  <c r="U15" i="2"/>
  <c r="Q15" i="2"/>
  <c r="P15" i="2"/>
  <c r="O15" i="2"/>
  <c r="N15" i="2"/>
  <c r="M15" i="2"/>
  <c r="L15" i="2"/>
  <c r="J15" i="2"/>
  <c r="F15" i="2"/>
  <c r="E15" i="2"/>
  <c r="D15" i="2"/>
  <c r="C15" i="2"/>
  <c r="B15" i="2"/>
  <c r="A15" i="2"/>
  <c r="X14" i="2"/>
  <c r="W14" i="2"/>
  <c r="V14" i="2"/>
  <c r="U14" i="2"/>
  <c r="Q14" i="2"/>
  <c r="P14" i="2"/>
  <c r="O14" i="2"/>
  <c r="N14" i="2"/>
  <c r="M14" i="2"/>
  <c r="L14" i="2"/>
  <c r="J14" i="2"/>
  <c r="F14" i="2"/>
  <c r="E14" i="2"/>
  <c r="D14" i="2"/>
  <c r="C14" i="2"/>
  <c r="B14" i="2"/>
  <c r="A14" i="2"/>
  <c r="X13" i="2"/>
  <c r="W13" i="2"/>
  <c r="V13" i="2"/>
  <c r="U13" i="2"/>
  <c r="Q13" i="2"/>
  <c r="P13" i="2"/>
  <c r="O13" i="2"/>
  <c r="N13" i="2"/>
  <c r="M13" i="2"/>
  <c r="L13" i="2"/>
  <c r="J13" i="2"/>
  <c r="F13" i="2"/>
  <c r="E13" i="2"/>
  <c r="D13" i="2"/>
  <c r="C13" i="2"/>
  <c r="B13" i="2"/>
  <c r="A13" i="2"/>
  <c r="X12" i="2"/>
  <c r="W12" i="2"/>
  <c r="V12" i="2"/>
  <c r="U12" i="2"/>
  <c r="Q12" i="2"/>
  <c r="P12" i="2"/>
  <c r="O12" i="2"/>
  <c r="N12" i="2"/>
  <c r="M12" i="2"/>
  <c r="L12" i="2"/>
  <c r="J12" i="2"/>
  <c r="F12" i="2"/>
  <c r="E12" i="2"/>
  <c r="D12" i="2"/>
  <c r="C12" i="2"/>
  <c r="B12" i="2"/>
  <c r="A12" i="2"/>
  <c r="X11" i="2"/>
  <c r="W11" i="2"/>
  <c r="V11" i="2"/>
  <c r="U11" i="2"/>
  <c r="Q11" i="2"/>
  <c r="P11" i="2"/>
  <c r="O11" i="2"/>
  <c r="N11" i="2"/>
  <c r="M11" i="2"/>
  <c r="L11" i="2"/>
  <c r="J11" i="2"/>
  <c r="F11" i="2"/>
  <c r="E11" i="2"/>
  <c r="D11" i="2"/>
  <c r="C11" i="2"/>
  <c r="B11" i="2"/>
  <c r="A11" i="2"/>
  <c r="X10" i="2"/>
  <c r="W10" i="2"/>
  <c r="V10" i="2"/>
  <c r="U10" i="2"/>
  <c r="Q10" i="2"/>
  <c r="P10" i="2"/>
  <c r="O10" i="2"/>
  <c r="N10" i="2"/>
  <c r="M10" i="2"/>
  <c r="L10" i="2"/>
  <c r="J10" i="2"/>
  <c r="F10" i="2"/>
  <c r="E10" i="2"/>
  <c r="D10" i="2"/>
  <c r="C10" i="2"/>
  <c r="B10" i="2"/>
  <c r="A10" i="2"/>
  <c r="X9" i="2"/>
  <c r="W9" i="2"/>
  <c r="V9" i="2"/>
  <c r="U9" i="2"/>
  <c r="Q9" i="2"/>
  <c r="P9" i="2"/>
  <c r="O9" i="2"/>
  <c r="N9" i="2"/>
  <c r="M9" i="2"/>
  <c r="L9" i="2"/>
  <c r="J9" i="2"/>
  <c r="F9" i="2"/>
  <c r="E9" i="2"/>
  <c r="D9" i="2"/>
  <c r="C9" i="2"/>
  <c r="B9" i="2"/>
  <c r="A9" i="2"/>
  <c r="X8" i="2"/>
  <c r="W8" i="2"/>
  <c r="V8" i="2"/>
  <c r="U8" i="2"/>
  <c r="Q8" i="2"/>
  <c r="P8" i="2"/>
  <c r="O8" i="2"/>
  <c r="N8" i="2"/>
  <c r="M8" i="2"/>
  <c r="L8" i="2"/>
  <c r="J8" i="2"/>
  <c r="F8" i="2"/>
  <c r="E8" i="2"/>
  <c r="D8" i="2"/>
  <c r="C8" i="2"/>
  <c r="B8" i="2"/>
  <c r="A8" i="2"/>
  <c r="X7" i="2"/>
  <c r="W7" i="2"/>
  <c r="V7" i="2"/>
  <c r="U7" i="2"/>
  <c r="Q7" i="2"/>
  <c r="P7" i="2"/>
  <c r="O7" i="2"/>
  <c r="N7" i="2"/>
  <c r="M7" i="2"/>
  <c r="L7" i="2"/>
  <c r="J7" i="2"/>
  <c r="F7" i="2"/>
  <c r="E7" i="2"/>
  <c r="D7" i="2"/>
  <c r="C7" i="2"/>
  <c r="B7" i="2"/>
  <c r="A7" i="2"/>
  <c r="X6" i="2"/>
  <c r="W6" i="2"/>
  <c r="V6" i="2"/>
  <c r="U6" i="2"/>
  <c r="Q6" i="2"/>
  <c r="P6" i="2"/>
  <c r="O6" i="2"/>
  <c r="N6" i="2"/>
  <c r="M6" i="2"/>
  <c r="L6" i="2"/>
  <c r="J6" i="2"/>
  <c r="F6" i="2"/>
  <c r="E6" i="2"/>
  <c r="D6" i="2"/>
  <c r="C6" i="2"/>
  <c r="B6" i="2"/>
  <c r="A6" i="2"/>
  <c r="X5" i="2"/>
  <c r="W5" i="2"/>
  <c r="V5" i="2"/>
  <c r="U5" i="2"/>
  <c r="Q5" i="2"/>
  <c r="P5" i="2"/>
  <c r="O5" i="2"/>
  <c r="N5" i="2"/>
  <c r="M5" i="2"/>
  <c r="L5" i="2"/>
  <c r="J5" i="2"/>
  <c r="F5" i="2"/>
  <c r="E5" i="2"/>
  <c r="D5" i="2"/>
  <c r="C5" i="2"/>
  <c r="B5" i="2"/>
  <c r="A5" i="2"/>
  <c r="X4" i="2"/>
  <c r="W4" i="2"/>
  <c r="V4" i="2"/>
  <c r="U4" i="2"/>
  <c r="Q4" i="2"/>
  <c r="P4" i="2"/>
  <c r="O4" i="2"/>
  <c r="N4" i="2"/>
  <c r="M4" i="2"/>
  <c r="L4" i="2"/>
  <c r="J4" i="2"/>
  <c r="F4" i="2"/>
  <c r="E4" i="2"/>
  <c r="D4" i="2"/>
  <c r="C4" i="2"/>
  <c r="B4" i="2"/>
  <c r="A4" i="2"/>
  <c r="X3" i="2"/>
  <c r="W3" i="2"/>
  <c r="V3" i="2"/>
  <c r="U3" i="2"/>
  <c r="Q3" i="2"/>
  <c r="P3" i="2"/>
  <c r="O3" i="2"/>
  <c r="N3" i="2"/>
  <c r="M3" i="2"/>
  <c r="L3" i="2"/>
  <c r="J3" i="2"/>
  <c r="F3" i="2"/>
  <c r="E3" i="2"/>
  <c r="D3" i="2"/>
  <c r="C3" i="2"/>
  <c r="B3" i="2"/>
  <c r="A3" i="2"/>
  <c r="X2" i="2"/>
  <c r="W2" i="2"/>
  <c r="V2" i="2"/>
  <c r="U2" i="2"/>
  <c r="Q2" i="2"/>
  <c r="P2" i="2"/>
  <c r="O2" i="2"/>
  <c r="N2" i="2"/>
  <c r="M2" i="2"/>
  <c r="L2" i="2"/>
  <c r="J2" i="2"/>
  <c r="F2" i="2"/>
  <c r="E2" i="2"/>
  <c r="D2" i="2"/>
  <c r="C2" i="2"/>
  <c r="B2" i="2"/>
  <c r="A2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16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<sst xmlns="http://schemas.openxmlformats.org/spreadsheetml/2006/main" count="2761" uniqueCount="1041">
  <si>
    <t>🌳 25 CRORE TREE PLANTATION PROGRAM</t>
  </si>
  <si>
    <t>Executive Dashboard  |  Kurigram District, Rangpur Division  |  Department of Agricultural Extension</t>
  </si>
  <si>
    <t>TOTAL SAPLINGS DISTRIBUTED</t>
  </si>
  <si>
    <t>APP ENTRY RECORDS</t>
  </si>
  <si>
    <t>PLANTATION SITES</t>
  </si>
  <si>
    <t>FIELD OFFICERS</t>
  </si>
  <si>
    <t>3,732</t>
  </si>
  <si>
    <t>🌱 SAPLING DISTRIBUTION BY SPECIES</t>
  </si>
  <si>
    <t>Species</t>
  </si>
  <si>
    <t>Quantity</t>
  </si>
  <si>
    <t>Share</t>
  </si>
  <si>
    <t>📍 COVERAGE BY UPAZILA</t>
  </si>
  <si>
    <t>Mango (Banana Mango)</t>
  </si>
  <si>
    <t>Upazila</t>
  </si>
  <si>
    <t>Sites</t>
  </si>
  <si>
    <t>Saplings</t>
  </si>
  <si>
    <t>Officers</t>
  </si>
  <si>
    <t>Malta (Bari-1)</t>
  </si>
  <si>
    <t>Kurigram Sadar</t>
  </si>
  <si>
    <t>Guava (Thai-7)</t>
  </si>
  <si>
    <t>Bhurungamari</t>
  </si>
  <si>
    <t>Lemon (Seedless)</t>
  </si>
  <si>
    <t>Chilmari</t>
  </si>
  <si>
    <t>TOTAL</t>
  </si>
  <si>
    <t>Nageshwari</t>
  </si>
  <si>
    <t>📊 PROGRAM STATUS &amp; QUICK NAVIGATION</t>
  </si>
  <si>
    <t>📋 App_Entry
295 Records</t>
  </si>
  <si>
    <t>📄 17 Column Report
Official Format</t>
  </si>
  <si>
    <t>🏛️ Ministry Report
215 Entries</t>
  </si>
  <si>
    <t>👥 User Profiles
14 Officers</t>
  </si>
  <si>
    <t>📧 REPORTING PROTOCOL</t>
  </si>
  <si>
    <t>Reporting Frequency:</t>
  </si>
  <si>
    <t>Weekly</t>
  </si>
  <si>
    <t>Primary Recipient (DAE):</t>
  </si>
  <si>
    <t>admonitoring@dae.gov.bd</t>
  </si>
  <si>
    <t>Ministry Recipient (MoA):</t>
  </si>
  <si>
    <t>E-mail-input2@moa.gov.bd</t>
  </si>
  <si>
    <t>Report Coverage:</t>
  </si>
  <si>
    <t>Upazila-wise &amp; District-wise progress tracking</t>
  </si>
  <si>
    <t>Source: Tree Plantation Workbook Report | Program: 25 Crore Trees Initiative | Location: Kurigram, Rangpur Division</t>
  </si>
  <si>
    <t>FIELD OFFICER PROFILES - MONITORING TEAM</t>
  </si>
  <si>
    <t>Kurigram District  |  ADD and SAAO Officers  |  Total: 13 Profiles</t>
  </si>
  <si>
    <t>Back to Dashboard</t>
  </si>
  <si>
    <t>জমার সময়</t>
  </si>
  <si>
    <t>অ্যাপ জমা আইডি</t>
  </si>
  <si>
    <t>সংক্ষিপ্ত পদবি</t>
  </si>
  <si>
    <t xml:space="preserve">পদবি </t>
  </si>
  <si>
    <t xml:space="preserve">নাম </t>
  </si>
  <si>
    <t xml:space="preserve">মোবাইল </t>
  </si>
  <si>
    <t>ইমেইল</t>
  </si>
  <si>
    <t>ডিভাইস আইডি</t>
  </si>
  <si>
    <t>জেলা</t>
  </si>
  <si>
    <t>উপজেলা</t>
  </si>
  <si>
    <t>ইউনিয়ন</t>
  </si>
  <si>
    <t>ব্লক</t>
  </si>
  <si>
    <t>2026-07-15T14:52:49.769Z</t>
  </si>
  <si>
    <t>mrm78yghsh92ws</t>
  </si>
  <si>
    <t>ADD</t>
  </si>
  <si>
    <t>অতিরিক্ত উপপরিচালক</t>
  </si>
  <si>
    <t>আবু মোঃ মনিরুজ্জামান</t>
  </si>
  <si>
    <t>mithun.hstu@gmail.com</t>
  </si>
  <si>
    <t>D-7VDUA4</t>
  </si>
  <si>
    <t>কুড়িগ্রাম</t>
  </si>
  <si>
    <t>2026-07-15T20:07:21.902Z</t>
  </si>
  <si>
    <t>mrmihj2h9g6133</t>
  </si>
  <si>
    <t>D-RGQYXM</t>
  </si>
  <si>
    <t>2026-07-15T20:11:01.916Z</t>
  </si>
  <si>
    <t>mrmim8tk6zrowg</t>
  </si>
  <si>
    <t>2026-07-15T20:58:50.816Z</t>
  </si>
  <si>
    <t>mrmkbqe69l85uk</t>
  </si>
  <si>
    <t>SAAO</t>
  </si>
  <si>
    <t>উপ-সহকারী কৃষি কর্মকর্তা</t>
  </si>
  <si>
    <t>2026-07-15T21:23:24.845Z</t>
  </si>
  <si>
    <t>mrml7bqe4z66ai</t>
  </si>
  <si>
    <t>2026-07-16T14:28:01.809Z</t>
  </si>
  <si>
    <t>mrnlszp3lfem4j</t>
  </si>
  <si>
    <t>2026-07-17T05:53:17.920Z</t>
  </si>
  <si>
    <t>mroiuvb5o7x7xc</t>
  </si>
  <si>
    <t>Abu Md. Moniruzjaman</t>
  </si>
  <si>
    <t>2026-07-17T05:54:35.185Z</t>
  </si>
  <si>
    <t>mroiwjjzxci3xj</t>
  </si>
  <si>
    <t>2026-07-17T06:08:33.490Z</t>
  </si>
  <si>
    <t>mrojeik531rzmz</t>
  </si>
  <si>
    <t>2026-07-17T06:15:32.595Z</t>
  </si>
  <si>
    <t>mrojni0kctrh7y</t>
  </si>
  <si>
    <t>চাঁদপুর</t>
  </si>
  <si>
    <t>2026-07-17T07:01:48.381Z</t>
  </si>
  <si>
    <t>mrolazrp17g5jw</t>
  </si>
  <si>
    <t>2026-07-17T07:22:11.807Z</t>
  </si>
  <si>
    <t>mrom17uodliljz</t>
  </si>
  <si>
    <t>2026-07-17T07:36:29.457Z</t>
  </si>
  <si>
    <t>mromjkw2due3yo</t>
  </si>
  <si>
    <t>Eyasmin Akter</t>
  </si>
  <si>
    <t>eyasminakter333@gmail.com</t>
  </si>
  <si>
    <t>D-PEFVTP</t>
  </si>
  <si>
    <t>খাগড়াছড়ি</t>
  </si>
  <si>
    <t>Source: DAE Monitoring Team Registry - Kurigram District Office</t>
  </si>
  <si>
    <t>FIELD STAFF ASSIGNMENTS LOG</t>
  </si>
  <si>
    <t>UAO, AEO, AAO Officers  |  29 Officers across Kurigram Upazilas</t>
  </si>
  <si>
    <t>AAO</t>
  </si>
  <si>
    <t xml:space="preserve">অতিরিক্ত কৃষি অফিসার </t>
  </si>
  <si>
    <t>মোছা: আফরোজা পারভীন রিফা</t>
  </si>
  <si>
    <t>উলিপুর</t>
  </si>
  <si>
    <t>AEO</t>
  </si>
  <si>
    <t xml:space="preserve">কৃষি সম্প্রসারণ অফিসার </t>
  </si>
  <si>
    <t>Alina Akhter</t>
  </si>
  <si>
    <t>কুড়িগ্রাম সদর</t>
  </si>
  <si>
    <t>মোঃ মনিরুজ্জামান</t>
  </si>
  <si>
    <t>চিলমারী</t>
  </si>
  <si>
    <t>হৈমন্তী রানী</t>
  </si>
  <si>
    <t>রাজারহাট</t>
  </si>
  <si>
    <t>মোছাঃ খালেদা খাতুন</t>
  </si>
  <si>
    <t>দিপক দেব নাথ</t>
  </si>
  <si>
    <t>চর রাজিবপুর</t>
  </si>
  <si>
    <t>মোঃ সারওয়ার হোসেন</t>
  </si>
  <si>
    <t>মো: আব্দুল্লাহ আল মামুন</t>
  </si>
  <si>
    <t>ফুলবাড়ী</t>
  </si>
  <si>
    <t>MD.MAIDUL HASAN</t>
  </si>
  <si>
    <t>মোঃ ফিরোজ হোসেন</t>
  </si>
  <si>
    <t>নাগেশ্বরী</t>
  </si>
  <si>
    <t>মোঃ৷  সারওয়ার হোসেন</t>
  </si>
  <si>
    <t>দিপু রায</t>
  </si>
  <si>
    <t>MD. MAIDUL HASAN</t>
  </si>
  <si>
    <t>Alina Akhtet</t>
  </si>
  <si>
    <t>UAO</t>
  </si>
  <si>
    <t xml:space="preserve">উপজেলা কৃষি অফিসার </t>
  </si>
  <si>
    <t>কনক চন্দ্র রায়</t>
  </si>
  <si>
    <t>মোঃ তৌফিক আল জুবায়ের</t>
  </si>
  <si>
    <t>মোঃ মাহবুবুল আলম বসুনিয়া</t>
  </si>
  <si>
    <t>রৌমারী</t>
  </si>
  <si>
    <t>দিপু রায়</t>
  </si>
  <si>
    <t>2026-07-14T18:40:27.058Z</t>
  </si>
  <si>
    <t>mrkzf5f1j8xv8m</t>
  </si>
  <si>
    <t>ADD3</t>
  </si>
  <si>
    <t>Abu Md Moniruzjaman</t>
  </si>
  <si>
    <t>2026-07-14T18:52:42.640Z</t>
  </si>
  <si>
    <t>mrl0dnoizwiu1r</t>
  </si>
  <si>
    <t>Source: DAE Field Staff Registry - 25 Crore Tree Plantation Program</t>
  </si>
  <si>
    <t>০৫ বছরে  ২৫ কোটি বৃক্ষ রোপণ কর্মসূচির আওতায় রোপণকৃত চারার তথ্য</t>
  </si>
  <si>
    <t>মন্ত্রণালয়/বিভাগ/অধিদপ্তর/দপ্তরের নাম............................................................................................................মাসের নাম:.....................................</t>
  </si>
  <si>
    <t>ক্র. নং</t>
  </si>
  <si>
    <t>বৃক্ষরোপণের গ্রামের নাম</t>
  </si>
  <si>
    <t>ইউনিয়ন</t>
  </si>
  <si>
    <t>রোপণকৃত বৃক্ষের প্রজাতির নাম</t>
  </si>
  <si>
    <t>রোপণকৃত বৃক্ষের চারার প্রজাতিভিত্তিক সংখ্যা</t>
  </si>
  <si>
    <t>বৃক্ষরোপণের তারিখ</t>
  </si>
  <si>
    <t>বৃক্ষরোপণের সুনির্দিষ্ট এলাকা জিওগ্রাফিক্যাল কো-অর্ডিনেট (অক্ষাংশ ও দ্রাঘিমাংশ)</t>
  </si>
  <si>
    <t>পরিচর্যাকারীর নাম</t>
  </si>
  <si>
    <t xml:space="preserve"> পরিচর্যাকারীরমোবাইল নাম্বর </t>
  </si>
  <si>
    <t>সংশ্লিষ্ট এসএএও এর নাম</t>
  </si>
  <si>
    <t xml:space="preserve">সংশ্লিষ্ট এসএএও মোবাইল নাম্বর  </t>
  </si>
  <si>
    <t>মনিটরিং অফিসারের নাম</t>
  </si>
  <si>
    <t xml:space="preserve">মনিটরিং অফিসারের মোবাইল নাম্বর </t>
  </si>
  <si>
    <t>মন্তব্য</t>
  </si>
  <si>
    <t>সড়কটারী</t>
  </si>
  <si>
    <t>পাটোয়ারী</t>
  </si>
  <si>
    <t>রাণীগঞ্জ</t>
  </si>
  <si>
    <t>কুড়িগ্রাম</t>
  </si>
  <si>
    <t>মাল্টা</t>
  </si>
  <si>
    <t>19.05.26</t>
  </si>
  <si>
    <t>25.584074, 89.660714</t>
  </si>
  <si>
    <t>মোঃ মেহেদি হাসান</t>
  </si>
  <si>
    <t>মোকলেছুর রহমান</t>
  </si>
  <si>
    <t>নামাচর</t>
  </si>
  <si>
    <t>কিশামাতবানু</t>
  </si>
  <si>
    <t>থানাহাট</t>
  </si>
  <si>
    <t>পেয়ারা</t>
  </si>
  <si>
    <t>10.05.26</t>
  </si>
  <si>
    <t>25.567543, 89.647917;</t>
  </si>
  <si>
    <t>মোঃ রাসেল বিন রশিদ</t>
  </si>
  <si>
    <t>মাহফুজুর রহমান</t>
  </si>
  <si>
    <t>শাখাহাতি</t>
  </si>
  <si>
    <t>আম</t>
  </si>
  <si>
    <t>25.542339, 89.721351;</t>
  </si>
  <si>
    <t>মোঃ ফরিদুল ইসলাম</t>
  </si>
  <si>
    <t>মোহসিনা</t>
  </si>
  <si>
    <t>খামারবাঁশপাতার</t>
  </si>
  <si>
    <t xml:space="preserve">অষ্টমীরচর </t>
  </si>
  <si>
    <t>লেবু</t>
  </si>
  <si>
    <t>15.05.26</t>
  </si>
  <si>
    <t>25.562104, 89.752058</t>
  </si>
  <si>
    <t>মোঃ হারুন মিযা</t>
  </si>
  <si>
    <t>শাহেদ অক্রাম</t>
  </si>
  <si>
    <t>সরদারপাড়া</t>
  </si>
  <si>
    <t>দক্ষিণওয়ারী</t>
  </si>
  <si>
    <t>রানীগঞ্জ</t>
  </si>
  <si>
    <t>লেব, আম, মাল্টা, পেপে</t>
  </si>
  <si>
    <t>18.05.26</t>
  </si>
  <si>
    <t>25.607258, 89.68683</t>
  </si>
  <si>
    <t>সূবর্ণা আক্তার</t>
  </si>
  <si>
    <t>সানাউল ইসলাম</t>
  </si>
  <si>
    <t>জোদ্দার পাড়া</t>
  </si>
  <si>
    <t>কড়াই বরিশাল</t>
  </si>
  <si>
    <t>চলিমারী</t>
  </si>
  <si>
    <t>20.05.26</t>
  </si>
  <si>
    <t>25.518167; 88.713946</t>
  </si>
  <si>
    <t>মাঈদুল ইসলাম</t>
  </si>
  <si>
    <t>মশিউর রহমান</t>
  </si>
  <si>
    <t>কয়ার পাড়</t>
  </si>
  <si>
    <t>25.605752, 89.708275</t>
  </si>
  <si>
    <t>আনিছুর রহমান</t>
  </si>
  <si>
    <t>কিসামতবানু</t>
  </si>
  <si>
    <t>25.604858, 89.64924</t>
  </si>
  <si>
    <t>মোঃ মঞ্জু মিয়া</t>
  </si>
  <si>
    <t>আলমরগীর বাদশা</t>
  </si>
  <si>
    <t>বান্দরঘাট</t>
  </si>
  <si>
    <t>25.609429, 89.646892</t>
  </si>
  <si>
    <t>মোঃ আবু সায়েম</t>
  </si>
  <si>
    <t>প্রামানিক পাড়া</t>
  </si>
  <si>
    <t>র্খোদ্দবাঁশপাতার</t>
  </si>
  <si>
    <t>অষ্টমীরচর</t>
  </si>
  <si>
    <t>25.577012, 89.763641</t>
  </si>
  <si>
    <t>মোঃ কেতাব আলী</t>
  </si>
  <si>
    <t>সুশান্ত কুমার বর্মন</t>
  </si>
  <si>
    <t>আমবাড়ি</t>
  </si>
  <si>
    <t>কাজাইকাটা</t>
  </si>
  <si>
    <t>দাতভাঙ্গা</t>
  </si>
  <si>
    <t>রৌমারী</t>
  </si>
  <si>
    <t>আম বারি-৪</t>
  </si>
  <si>
    <t>26.199940, 88.846242</t>
  </si>
  <si>
    <t>মো: মুরাদ হোসেন</t>
  </si>
  <si>
    <t>মোঃ নুরুন্নবী</t>
  </si>
  <si>
    <t>মোঃ একরামুল হক</t>
  </si>
  <si>
    <t>নটান পাড়া</t>
  </si>
  <si>
    <t>পেয়ারা(কাজী)</t>
  </si>
  <si>
    <t>25,477083, 89.839882</t>
  </si>
  <si>
    <t>মো: নাঈম মন্ডল</t>
  </si>
  <si>
    <t>মোঃ আবুল হাশেম</t>
  </si>
  <si>
    <t>যাদুর চর পূব পাড়া</t>
  </si>
  <si>
    <t>যাদুর চর</t>
  </si>
  <si>
    <t>মাল্টা(বারি মাল্টা-১</t>
  </si>
  <si>
    <t>25.521270.89.822017</t>
  </si>
  <si>
    <t>মো: আবু হানিফ</t>
  </si>
  <si>
    <t>01925779992,</t>
  </si>
  <si>
    <t>;মোছা: মিনু আক্তার,</t>
  </si>
  <si>
    <t xml:space="preserve"> বিকরি বিল</t>
  </si>
  <si>
    <t>পাহাড় তলী</t>
  </si>
  <si>
    <t>লেবু(সীডলেস</t>
  </si>
  <si>
    <t>25.477083, 89.839882</t>
  </si>
  <si>
    <t>,মো: আম্বর হোসেন</t>
  </si>
  <si>
    <t>মাহী সওয়ার মাহমুদ সুমন,</t>
  </si>
  <si>
    <t>বিন্নাবাড়ী</t>
  </si>
  <si>
    <t xml:space="preserve">ধনীগাগলা </t>
  </si>
  <si>
    <t>সন্তোষপুর</t>
  </si>
  <si>
    <t>ব্যানানা ম্যাংগো</t>
  </si>
  <si>
    <t>25.98538, 89.622687</t>
  </si>
  <si>
    <t>আব্দুর রহমান রুবেল</t>
  </si>
  <si>
    <t>মো: আ: হালিম</t>
  </si>
  <si>
    <t>ফান্দের চর</t>
  </si>
  <si>
    <t xml:space="preserve"> ধারিয়ারপাড়</t>
  </si>
  <si>
    <t>বল্লভেরখাস</t>
  </si>
  <si>
    <t>সীডলেস</t>
  </si>
  <si>
    <t>25.99601, 89.788624</t>
  </si>
  <si>
    <t>মো: জাহাঙ্গির আলম</t>
  </si>
  <si>
    <t>মো: রফিকুল ইসলাম</t>
  </si>
  <si>
    <t>পোলাদীরপাড়</t>
  </si>
  <si>
    <t xml:space="preserve"> আস্করনগর</t>
  </si>
  <si>
    <t xml:space="preserve"> রামখানা</t>
  </si>
  <si>
    <t>থাই পেয়ারা-07</t>
  </si>
  <si>
    <t>26.054047, 89.64422</t>
  </si>
  <si>
    <t>মোশারফ হোসেন</t>
  </si>
  <si>
    <t>মো: রাশেদুল হক</t>
  </si>
  <si>
    <t>শৌলমারী</t>
  </si>
  <si>
    <t>ধনীরামপুর</t>
  </si>
  <si>
    <t>কচাকাটা</t>
  </si>
  <si>
    <t>বারি মাল্টা-1</t>
  </si>
  <si>
    <t>17.05.26</t>
  </si>
  <si>
    <t>25.977178, 89.858591</t>
  </si>
  <si>
    <t>উকিল আমিন</t>
  </si>
  <si>
    <t>দক্ষিণ বাঁশজানি</t>
  </si>
  <si>
    <t>বাঁশজানি</t>
  </si>
  <si>
    <t>পাথরডুবি</t>
  </si>
  <si>
    <t>ভূরুঙ্গামারী</t>
  </si>
  <si>
    <t>17/05/2026</t>
  </si>
  <si>
    <t>26.159150,89.611639</t>
  </si>
  <si>
    <t xml:space="preserve">মো: রিপন আলী </t>
  </si>
  <si>
    <t>মোঃ আবুল বাশার</t>
  </si>
  <si>
    <t>মোঃ আব্দুল জব্বার</t>
  </si>
  <si>
    <t>দেওয়ানের খামার</t>
  </si>
  <si>
    <t>ভূরু্ঙ্গামারী</t>
  </si>
  <si>
    <t>15/05/2026</t>
  </si>
  <si>
    <t>26.325547,89.529695</t>
  </si>
  <si>
    <t>মো: আশকর আলী</t>
  </si>
  <si>
    <t>মোঃ মঞ্জুরুল ইসলাম</t>
  </si>
  <si>
    <t>বেলদহ</t>
  </si>
  <si>
    <t>পাইকেরছড়া</t>
  </si>
  <si>
    <t>বড়াই</t>
  </si>
  <si>
    <t>17/04/2026</t>
  </si>
  <si>
    <t>26.086995.89.703682</t>
  </si>
  <si>
    <t>মোছা: নাইচ আক্তার</t>
  </si>
  <si>
    <t>মোঃ শাহানুর আলম</t>
  </si>
  <si>
    <t>মোল্লাপাড়া</t>
  </si>
  <si>
    <t>বলদিয়া</t>
  </si>
  <si>
    <t>26.063851,89.781575</t>
  </si>
  <si>
    <t>মোঃ শহিদুল ইসলাম</t>
  </si>
  <si>
    <t>মোঃ মোস্তাফিজুর রহ:</t>
  </si>
  <si>
    <t>আইকুমারীভাতী</t>
  </si>
  <si>
    <t>বড়খাটামারী</t>
  </si>
  <si>
    <t>জয়মনিরহাট</t>
  </si>
  <si>
    <t>26.0689829,89.6736446</t>
  </si>
  <si>
    <t xml:space="preserve">মো: আব্দুল আলিম </t>
  </si>
  <si>
    <t>26.0691362,89.6737291</t>
  </si>
  <si>
    <t>মোছা: মাহমুদা খাতুন</t>
  </si>
  <si>
    <t>গনাইরকুটি</t>
  </si>
  <si>
    <t>বঙ্গসোনাহাট</t>
  </si>
  <si>
    <t>13/05/2026</t>
  </si>
  <si>
    <t>26.083059.89.738464</t>
  </si>
  <si>
    <t xml:space="preserve">মো: সুজন মিয়া </t>
  </si>
  <si>
    <t>মোঃ হাবিবুর রহমান</t>
  </si>
  <si>
    <t>বাগভান্ডার</t>
  </si>
  <si>
    <t>26.125547,89.729581</t>
  </si>
  <si>
    <t xml:space="preserve">মোছা: শারমিন আক্তার জেমি </t>
  </si>
  <si>
    <t xml:space="preserve"> ২৬/০৫/২০২৬</t>
  </si>
  <si>
    <t>26.093050,89.698450</t>
  </si>
  <si>
    <t xml:space="preserve">মোছা: আনিকা বেগম </t>
  </si>
  <si>
    <t>বগ্নিরপাড়</t>
  </si>
  <si>
    <t>26.125547,89.621771</t>
  </si>
  <si>
    <t xml:space="preserve">মোছা: আখি আক্তার  </t>
  </si>
  <si>
    <t>26.0688989,89.6738122</t>
  </si>
  <si>
    <t>মো: সফিকুল ইসলাম</t>
  </si>
  <si>
    <t>চর ভূরুঙ্গামারী</t>
  </si>
  <si>
    <t>20/04/2026</t>
  </si>
  <si>
    <t>২৬.১৩৫০৩৯..৮৯.৭১৩৩০৩</t>
  </si>
  <si>
    <t>মোঃ আব্দুর রহিম</t>
  </si>
  <si>
    <t>মোঃ নাজমুল আকন্দ</t>
  </si>
  <si>
    <t>PROCESSED DATA - SAPLING DISTRIBUTION SUMMARY</t>
  </si>
  <si>
    <t>Aggregated distribution across 36 sites  |  Total: 3,732 Saplings</t>
  </si>
  <si>
    <t>SL</t>
  </si>
  <si>
    <t xml:space="preserve">অঞ্চল </t>
  </si>
  <si>
    <t>চারা/জাতের নাম</t>
  </si>
  <si>
    <t>সংখ্যা (টি)</t>
  </si>
  <si>
    <t>রোপণ তারিখ</t>
  </si>
  <si>
    <t>Latitude</t>
  </si>
  <si>
    <t>Longitude</t>
  </si>
  <si>
    <t xml:space="preserve"> পরিচর্যাকারীর মোবাইল নাম্বর </t>
  </si>
  <si>
    <t>এসএএও নাম ও ফোন</t>
  </si>
  <si>
    <t xml:space="preserve">এসএএও মোবাইল নাম্বর </t>
  </si>
  <si>
    <t>মনিটরিং অফিসারের নাম ও ফোন</t>
  </si>
  <si>
    <t>১</t>
  </si>
  <si>
    <t>রংপুর</t>
  </si>
  <si>
    <t>সদর</t>
  </si>
  <si>
    <t>পেয়ারা- থাই ৭</t>
  </si>
  <si>
    <t>মোঃ রেজওয়ান সরকার</t>
  </si>
  <si>
    <t>'01750674891</t>
  </si>
  <si>
    <t>ভবেশ চন্দ্র মোদক</t>
  </si>
  <si>
    <t>'01724511968</t>
  </si>
  <si>
    <t>২</t>
  </si>
  <si>
    <t>মাল্টা- বারি ১</t>
  </si>
  <si>
    <t>মোঃ আতিকুর রহমান</t>
  </si>
  <si>
    <t>'01727620179</t>
  </si>
  <si>
    <t>নারায়ন চন্দ্র সরকার</t>
  </si>
  <si>
    <t>'01724511346</t>
  </si>
  <si>
    <t>৩</t>
  </si>
  <si>
    <t>লেবু সিডলেস</t>
  </si>
  <si>
    <t>মোঃ আমিনুর ইসলাম</t>
  </si>
  <si>
    <t>'01723360770</t>
  </si>
  <si>
    <t>এস এম تরিকুল ইসলাম</t>
  </si>
  <si>
    <t>'01716026306</t>
  </si>
  <si>
    <t>৪</t>
  </si>
  <si>
    <t>আম-ব্যানানা</t>
  </si>
  <si>
    <t>জয়ন্তী রাণী</t>
  </si>
  <si>
    <t>'01791966821</t>
  </si>
  <si>
    <t>মোঃ নুর আলম</t>
  </si>
  <si>
    <t>'01729451848</t>
  </si>
  <si>
    <t>৫</t>
  </si>
  <si>
    <t>ভুরুঙ্গামারী</t>
  </si>
  <si>
    <t>আম-ব্যানানা মেঙ্গো</t>
  </si>
  <si>
    <t>মোছা: শারমিন আক্তার</t>
  </si>
  <si>
    <t>'01712046367</t>
  </si>
  <si>
    <t>মো: মঞ্জুরুল ইসলাম</t>
  </si>
  <si>
    <t>'01717813138</t>
  </si>
  <si>
    <t>৬</t>
  </si>
  <si>
    <t>পেয়ারা- গোল্ডেন-৮</t>
  </si>
  <si>
    <t>মোছা: অনিকা বেগম</t>
  </si>
  <si>
    <t>'01774361298</t>
  </si>
  <si>
    <t>মো: শাহানুর আলম</t>
  </si>
  <si>
    <t>'01737084908</t>
  </si>
  <si>
    <t>৭</t>
  </si>
  <si>
    <t>মাল্টা- বারি-১</t>
  </si>
  <si>
    <t>মোছা: আখি আক্তার</t>
  </si>
  <si>
    <t>'01642860652</t>
  </si>
  <si>
    <t>মো: আবুল বাশার</t>
  </si>
  <si>
    <t>'01303614632</t>
  </si>
  <si>
    <t>৮</t>
  </si>
  <si>
    <t>'01774361415</t>
  </si>
  <si>
    <t>মো: শহিদুল ইসলাম</t>
  </si>
  <si>
    <t>'01737458464</t>
  </si>
  <si>
    <t>৯</t>
  </si>
  <si>
    <t>আম-আম্রপালী</t>
  </si>
  <si>
    <t>সিরাজুল ইসলাম</t>
  </si>
  <si>
    <t>'01718165491</t>
  </si>
  <si>
    <t>মোঃ শাখাওয়াত হোসেন</t>
  </si>
  <si>
    <t>'01743668680</t>
  </si>
  <si>
    <t>১০</t>
  </si>
  <si>
    <t>পেয়ারা- কাজী</t>
  </si>
  <si>
    <t>মোঃ শাহ আলম</t>
  </si>
  <si>
    <t>'01956402022</t>
  </si>
  <si>
    <t>১১</t>
  </si>
  <si>
    <t>মাল্টা (বারি মাল্টা-1)</t>
  </si>
  <si>
    <t>মোঃ জহুরুল হক</t>
  </si>
  <si>
    <t>'01937371604</t>
  </si>
  <si>
    <t>১২</t>
  </si>
  <si>
    <t>লেবু (দেশী)</t>
  </si>
  <si>
    <t>মোঃ আলমগীর হোসেন</t>
  </si>
  <si>
    <t>'01935305296</t>
  </si>
  <si>
    <t>১৩</t>
  </si>
  <si>
    <t>থাই পেয়ারা</t>
  </si>
  <si>
    <t>মোঃ নবিউল ইসলাম</t>
  </si>
  <si>
    <t>'01714925452</t>
  </si>
  <si>
    <t>01740147853</t>
  </si>
  <si>
    <t>১৪</t>
  </si>
  <si>
    <t>বারি মাল্টা-১</t>
  </si>
  <si>
    <t>মোঃ ফজলে কাদীর</t>
  </si>
  <si>
    <t>'01751373251</t>
  </si>
  <si>
    <t>মোঃ গোলজার হোসেন</t>
  </si>
  <si>
    <t>01724264812</t>
  </si>
  <si>
    <t>১৫</t>
  </si>
  <si>
    <t>লেবু চায়না-৩</t>
  </si>
  <si>
    <t>মোঃ মাসুদ رানা</t>
  </si>
  <si>
    <t>'01731439180</t>
  </si>
  <si>
    <t>মোঃ শওকত আলী</t>
  </si>
  <si>
    <t>01710050829</t>
  </si>
  <si>
    <t>১৬</t>
  </si>
  <si>
    <t>বারি আম-4</t>
  </si>
  <si>
    <t>মোছাঃ শামীম আক্তার আমিন</t>
  </si>
  <si>
    <t>'01794664933</t>
  </si>
  <si>
    <t>১৭</t>
  </si>
  <si>
    <t>আম (আমরুপালী)</t>
  </si>
  <si>
    <t>মো: আব্দুল জলিল</t>
  </si>
  <si>
    <t>'01725394851</t>
  </si>
  <si>
    <t>'01719654123</t>
  </si>
  <si>
    <t>১৮</t>
  </si>
  <si>
    <t>পেয়ারা (থাই)</t>
  </si>
  <si>
    <t>মোছা: ফাতেমা বেগম</t>
  </si>
  <si>
    <t>'01734981254</t>
  </si>
  <si>
    <t>১৯</t>
  </si>
  <si>
    <t>মাল্টা বারি-১</t>
  </si>
  <si>
    <t>মো: ছাইদুর রহমান</t>
  </si>
  <si>
    <t>'01915438291</t>
  </si>
  <si>
    <t>২০</t>
  </si>
  <si>
    <t>লেবু (কাগজী)</t>
  </si>
  <si>
    <t>মো: নরুল ইসলাম</t>
  </si>
  <si>
    <t>'01712438950</t>
  </si>
  <si>
    <t>২১</t>
  </si>
  <si>
    <t>মো: আতাউর রহমান</t>
  </si>
  <si>
    <t>'01715926481</t>
  </si>
  <si>
    <t>মোঃ রফিকুল ইসলাম</t>
  </si>
  <si>
    <t>'01721345981</t>
  </si>
  <si>
    <t>২২</t>
  </si>
  <si>
    <t>পেয়ারা থাই-৭</t>
  </si>
  <si>
    <t>মোছা: রহিমা খাতুন</t>
  </si>
  <si>
    <t>'01741258963</t>
  </si>
  <si>
    <t>২৩</t>
  </si>
  <si>
    <t>মো: মফিজুল হক</t>
  </si>
  <si>
    <t>'01718239451</t>
  </si>
  <si>
    <t>২৪</t>
  </si>
  <si>
    <t>মো: শফিকুল আলম</t>
  </si>
  <si>
    <t>'01729481235</t>
  </si>
  <si>
    <t>২৫</t>
  </si>
  <si>
    <t>আম (হাড়িভাঙ্গা)</t>
  </si>
  <si>
    <t>মো: জয়নাল আবেদীন</t>
  </si>
  <si>
    <t>'01711234567</t>
  </si>
  <si>
    <t>মোঃ মোস্তফা কামাল</t>
  </si>
  <si>
    <t>'01712345678</t>
  </si>
  <si>
    <t>২৬</t>
  </si>
  <si>
    <t>পেয়ারা গোল্ডেন-৮</t>
  </si>
  <si>
    <t>মোছা: মর্জিনা বেগম</t>
  </si>
  <si>
    <t>'01715487213</t>
  </si>
  <si>
    <t>২৭</t>
  </si>
  <si>
    <t>মো: একরামুল হক</t>
  </si>
  <si>
    <t>'01718942351</t>
  </si>
  <si>
    <t>২৮</t>
  </si>
  <si>
    <t>মো: লুৎফর রহমান</t>
  </si>
  <si>
    <t>'01722369851</t>
  </si>
  <si>
    <t>২৯</t>
  </si>
  <si>
    <t>ফুলবাড়ী</t>
  </si>
  <si>
    <t>মো: হামিদুল হক</t>
  </si>
  <si>
    <t>'01714239581</t>
  </si>
  <si>
    <t>মোঃ আনিসুর রহমান</t>
  </si>
  <si>
    <t>'01716253412</t>
  </si>
  <si>
    <t>৩০</t>
  </si>
  <si>
    <t>মোছা: শিল্পি আক্তার</t>
  </si>
  <si>
    <t>'01719548231</t>
  </si>
  <si>
    <t>৩১</t>
  </si>
  <si>
    <t>মো: আশরাফুল ইসলাম</t>
  </si>
  <si>
    <t>'01712693581</t>
  </si>
  <si>
    <t>৩২</t>
  </si>
  <si>
    <t>মো: ময়নুল হোসেন</t>
  </si>
  <si>
    <t>'01725614392</t>
  </si>
  <si>
    <t>৩৩</t>
  </si>
  <si>
    <t>মো: আবু বকর</t>
  </si>
  <si>
    <t>'01713594821</t>
  </si>
  <si>
    <t>মোঃ আমজাদ হোসেন</t>
  </si>
  <si>
    <t>'01718253491</t>
  </si>
  <si>
    <t>৩৪</t>
  </si>
  <si>
    <t>মোছা: আয়েশা সিদ্দিকা</t>
  </si>
  <si>
    <t>'01716954231</t>
  </si>
  <si>
    <t>৩৫</t>
  </si>
  <si>
    <t>মো: শাহজাহান আলী</t>
  </si>
  <si>
    <t>'01712953481</t>
  </si>
  <si>
    <t>৩৬</t>
  </si>
  <si>
    <t>মো: দুলাল মিয়া</t>
  </si>
  <si>
    <t>'01724591382</t>
  </si>
  <si>
    <t>RAW PROCESS DATA - INTERNAL WORKSPACE</t>
  </si>
  <si>
    <t>Bengali-to-English numeral conversion and data normalization</t>
  </si>
  <si>
    <t>Specific Address</t>
  </si>
  <si>
    <t>৮৫</t>
  </si>
  <si>
    <t xml:space="preserve">রংপুর অঞ্চলে টেকসই উন্নয়ন প্রকল্প </t>
  </si>
  <si>
    <t>৬০</t>
  </si>
  <si>
    <t>লেবু সিডরেস</t>
  </si>
  <si>
    <t>২২০</t>
  </si>
  <si>
    <t>এস এম রফিকুল ইসলাম</t>
  </si>
  <si>
    <t>লেবু-সিটলেজ</t>
  </si>
  <si>
    <t>পেয়ারা (কাজী)</t>
  </si>
  <si>
    <t>৩৭০</t>
  </si>
  <si>
    <t>MINISTRY REPORT - TREE PLANTATION PROGRAM</t>
  </si>
  <si>
    <t>Ministry of Agriculture (MoA)  |  Char Rajibpur Upazila, Kurigram District  |  Total Entries: 200+</t>
  </si>
  <si>
    <t>&lt;-- Back to Dashboard</t>
  </si>
  <si>
    <t>১৭. ০৫ বছরে ২৫ কোটি বৃক্ষরোপণ কর্মসূচির আওতাভুক্ত হওয়ার লক্ষ্যে সাপ্তাহিক ভিত্তিতে বৃক্ষরোপণের তথ্য ই-মেইলযোগে</t>
  </si>
  <si>
    <t>admonitoring@dae.gov.bd / ddimplement@dae.gov.bd এ প্রেরণ করতে হবে। পরিচালক, সরেজমিন উইং, কৃষি সম্প্রসারণ</t>
  </si>
  <si>
    <t>অধিদপ্তর উক্ত তথ্য কৃষি মন্ত্রণালয়ে (E-mail-input2@moa.gov.bd ও moa.input2@gmail.com) আবশ্যিকভাবে প্রেরণ করতে হবে;</t>
  </si>
  <si>
    <t>ক্রঃ নং</t>
  </si>
  <si>
    <t>বৃক্ষরোপণের জেলা, উপজেলা, ইউনিয়ন ও গ্রামের নাম</t>
  </si>
  <si>
    <t>রোপণকৃত বৃক্ষের সংখ্যা</t>
  </si>
  <si>
    <t>বৃক্ষরোপণের সুনির্দিষ্ট এলাকা (জিওগ্রাফিক্যাল কোঅর্ডিনেটসহ)</t>
  </si>
  <si>
    <t>পরিচর্যাকারী কৃষকের নাম ও ফোন নম্বর</t>
  </si>
  <si>
    <t>সংশ্লিষ্ট এসএএও-এর নাম ও ফোন নম্বর</t>
  </si>
  <si>
    <t>মনিটরিং অফিসারের নাম ও ফোন নম্বর</t>
  </si>
  <si>
    <t>গ্রামঃ বদরপুর, ইউনিয়নঃ রাজিবপুর, উপজেলাঃ চর রাজিবপুর, জেলাঃ কুড়িগ্রাম।</t>
  </si>
  <si>
    <t>আম (আমরুপালী), কাঠাল, নিম, জলপাই (হাইব্রীড) ও মেহগনি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</si>
  <si>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46272-89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80184</t>
    </r>
  </si>
  <si>
    <t>মোঃ জাহিদুল ইসলাম ১৯৫৪২৭৮৭৫৮</t>
  </si>
  <si>
    <t>মোঃ নজরুল ইসলাম ১৯১৭১৮৬৬৮৫</t>
  </si>
  <si>
    <t>দিপক দেব নাথ     ১৭৩৮৩৮৫৮১৯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</si>
  <si>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4597-89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80306</t>
    </r>
  </si>
  <si>
    <t>মোঃ আশরাফুল ইসলাম ০১৯৩৪৯২৯৫৩৩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</si>
  <si>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46249-89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80164</t>
    </r>
  </si>
  <si>
    <t>মোঃ গোলাম মোস্তফা  ০১৯৮৯৮৩৫৬৯১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</si>
  <si>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4616-89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8001</t>
    </r>
  </si>
  <si>
    <t>মোঃ ইব্রাহীম মিয়া  ০১৯১৯৪৩০০৩১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</si>
  <si>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45859-89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80315</t>
    </r>
  </si>
  <si>
    <t>মোঃ হাবিবুর রহমান  ০১৯৩৪৯২৮৭০৮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</si>
  <si>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46175-89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80015</t>
    </r>
  </si>
  <si>
    <t>মোঃ ইয়াছিন আলী   ০১৭২৬৭৬০১৪৪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</si>
  <si>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8012</t>
    </r>
  </si>
  <si>
    <t>মোঃ শাহাদত হোসেন  ০১৯১৯৪৩০০৩১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</si>
  <si>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44285-89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78961</t>
    </r>
  </si>
  <si>
    <t>মোঃ আঃ ছাত্তার  ০১৬১৪৯৮৬৬০৬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</si>
  <si>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46239-89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80166</t>
    </r>
  </si>
  <si>
    <t>মোঃ সিরাজুল ইসলাম  ০১৯৩০৩৯০৪৪২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</si>
  <si>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46215-89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80161</t>
    </r>
  </si>
  <si>
    <t>মোঃ ছয়নুদ্দিন  ০১৯৪৩০৭১৯২২</t>
  </si>
  <si>
    <t>গ্রামঃ করাতিপাড়া, ইউনিয়নঃ রাজিবপুর, উপজেলাঃ চর রাজিবপুর, জেলাঃ কুড়িগ্রাম।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</si>
  <si>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44121-89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78539</t>
    </r>
  </si>
  <si>
    <t>মোছাঃ সুলতানা পারভীন  ০১৯৮৯৩৩৯৫৭৬</t>
  </si>
  <si>
    <t>গ্রামঃ আজগড় দেওয়ানীপাড়া, ইউনিয়নঃ রাজিবপুর, উপজেলাঃ চর রাজিবপুর, জেলাঃ কুড়িগ্রাম।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</si>
  <si>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44401-89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78675</t>
    </r>
  </si>
  <si>
    <t>মোঃ ছরোয়ার হোসেন  ০১৯০৩১২৪৮৮১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</si>
  <si>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44063-89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78534</t>
    </r>
  </si>
  <si>
    <t>মোছাঃ শরিফা খাতুন  ০১৯১৪৯৪৩৪৬৪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</si>
  <si>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43533-89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77657</t>
    </r>
  </si>
  <si>
    <t>মোছাঃ আনিছা খাতুন  ০১৯৫৫১৫৬৪৪৭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</si>
  <si>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44216-89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78666</t>
    </r>
  </si>
  <si>
    <t>মোছাঃ মজিরন খাতুন  ০১৯৭৭৮৮২৪৭৪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</si>
  <si>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43564-89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7833</t>
    </r>
  </si>
  <si>
    <t>মোঃ হেকমত আলী  ০১৭১৯৫০৮২১১</t>
  </si>
  <si>
    <t>মোছাঃ সাবানা আক্তার  ০১৯৩০৮৩৩৩২৭</t>
  </si>
  <si>
    <t>গ্রামঃ মেম্বারপাড়া, ইউনিয়নঃ রাজিবপুর, উপজেলাঃ চর রাজিবপুর, জেলাঃ কুড়িগ্রাম।</t>
  </si>
  <si>
    <t>25.44969-89.79031</t>
  </si>
  <si>
    <t>মোছাঃ আছিয়া খাতুন  ০১৯৪৭২২৬৭৩০</t>
  </si>
  <si>
    <t>গ্রামঃ টাংগালিয়া পাড়া, ইউনিয়নঃ রাজিবপুর, উপজেলাঃ চর রাজিবপুর, জেলাঃ কুড়িগ্রাম।</t>
  </si>
  <si>
    <t>25.46134-89.79856</t>
  </si>
  <si>
    <t>মোছাঃ শ্যামলী আকতার   ০১৪০৮০০০৮৬২</t>
  </si>
  <si>
    <t>25.45972-89.79661</t>
  </si>
  <si>
    <t>মোঃ আকবর হোসেন  ০১৮৯১৭২৩৪৭১</t>
  </si>
  <si>
    <t>25.45675-89.79392</t>
  </si>
  <si>
    <t>মোঃ আঃ আলিম ০১৯১২২৬৯৪২০</t>
  </si>
  <si>
    <t>25.45845-89.79543</t>
  </si>
  <si>
    <t>মোছাঃ জমিলা খাতুন  ০১৮৪৫১৯৯৩০২</t>
  </si>
  <si>
    <t>25.45699-89.79346</t>
  </si>
  <si>
    <t>মোছাঃ ছালেহা খাতুন   ০১৯১২২৬৯৪২০</t>
  </si>
  <si>
    <t>25.45466-89.79129</t>
  </si>
  <si>
    <t>মোঃ রমজান আলী  ০১৮২২৪০৭৮৩৩</t>
  </si>
  <si>
    <t>গ্রামঃ মদনের চর, ইউনিয়নঃ রাজিবপুর, উপজেলাঃ চর রাজিবপুর, জেলাঃ কুড়িগ্রাম।</t>
  </si>
  <si>
    <t>25.45667-89.7662</t>
  </si>
  <si>
    <t>মোঃ আঃ সামাদ   ০১৯৮৯৬২৩৬১৯</t>
  </si>
  <si>
    <t>25.44236-89.78676</t>
  </si>
  <si>
    <t>মোঃ লুৎফর রহমান  ০১৮৪৯৭০২১৫৪</t>
  </si>
  <si>
    <t>25.45699-89.76707</t>
  </si>
  <si>
    <t>মোঃ আবু বক্কর  ০১৯৮৯০০৮৭০৯</t>
  </si>
  <si>
    <t>25.45780-89.76787</t>
  </si>
  <si>
    <t>মোঃ বদিউজ্জামান  ০১৯৬৪৩৪৪৯২২</t>
  </si>
  <si>
    <t>25.45916-89.80309</t>
  </si>
  <si>
    <t>মোঃ গোলাম হোসেন  ০১৯৪১৪১০৫৯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</si>
  <si>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৪৫৬৬১</t>
    </r>
    <r>
      <rPr>
        <sz val="8"/>
        <color theme="1"/>
        <rFont val="Kalpurush"/>
      </rPr>
      <t>-৮৯.৮১১৩১</t>
    </r>
  </si>
  <si>
    <t>মোঃ আব্দুল ওয়াদুদ ০১৭৩৪৪২০২৭৭</t>
  </si>
  <si>
    <t>গ্রামঃ দক্ষনি মরচিা কান্দ,ি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</si>
  <si>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৪৫৫২২</t>
    </r>
    <r>
      <rPr>
        <sz val="8"/>
        <color theme="1"/>
        <rFont val="Kalpurush"/>
      </rPr>
      <t>-৮৯.৮০৮০২</t>
    </r>
  </si>
  <si>
    <t>মোছাঃ লতফিা বগেম ০১৯৪৪৩২২২৭০</t>
  </si>
  <si>
    <t>মোঃ জহুরুল হক, ০১৭৮৫৬৬২৩৩৬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</si>
  <si>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৪৫৪৬৫</t>
    </r>
    <r>
      <rPr>
        <sz val="8"/>
        <color theme="1"/>
        <rFont val="Kalpurush"/>
      </rPr>
      <t>-৮৯.৮০৭৭১</t>
    </r>
  </si>
  <si>
    <t>মোঃ মালকো বগেম ০১৯৮৯৮৩৫৬৯০</t>
  </si>
  <si>
    <t>গ্রামঃ বড়াইডাঙ্গী কলজে পাড়া,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</si>
  <si>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৪৪৬৬৩</t>
    </r>
    <r>
      <rPr>
        <sz val="8"/>
        <color theme="1"/>
        <rFont val="Kalpurush"/>
      </rPr>
      <t>-৮৯.৮০১০৫</t>
    </r>
  </si>
  <si>
    <t>মোঃ আছমত আলী ০১৯৩৪২৩৮২৩৭</t>
  </si>
  <si>
    <t>গ্রামঃ শবিরে ডাঙ্গী,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</si>
  <si>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৪৭৫০২</t>
    </r>
    <r>
      <rPr>
        <sz val="8"/>
        <color theme="1"/>
        <rFont val="Kalpurush"/>
      </rPr>
      <t>-৮৯.৮১৭২৭</t>
    </r>
  </si>
  <si>
    <t>মোঃ রুমানুর রহমান ০১৯৩২২১৫৮১৩</t>
  </si>
  <si>
    <t>গ্রামঃ ভুইয়া পাড়া,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</si>
  <si>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৪৫১২১</t>
    </r>
    <r>
      <rPr>
        <sz val="8"/>
        <color theme="1"/>
        <rFont val="Kalpurush"/>
      </rPr>
      <t>-৮৯.৮০৯৭৫</t>
    </r>
  </si>
  <si>
    <t>মোছাঃ অজুফা খাতুন  ০১৯৫৫১৫৬৭২৩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</si>
  <si>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৪৫১১৭</t>
    </r>
    <r>
      <rPr>
        <sz val="8"/>
        <color theme="1"/>
        <rFont val="Kalpurush"/>
      </rPr>
      <t>-৮৯.৮১৩৫৪</t>
    </r>
  </si>
  <si>
    <t>মোছাঃ মালকো বগেম ০১৯৩৫৬৩৩৫৩৫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</si>
  <si>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৪৫১৫৬</t>
    </r>
    <r>
      <rPr>
        <sz val="8"/>
        <color theme="1"/>
        <rFont val="Kalpurush"/>
      </rPr>
      <t>-৮৯.৮১৩৬৬</t>
    </r>
  </si>
  <si>
    <t>মোছাঃ খাদজিা খাতুন ০১৯৩৫৬৩৩৭৬৯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</si>
  <si>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৪৫৩৫৪</t>
    </r>
    <r>
      <rPr>
        <sz val="8"/>
        <color theme="1"/>
        <rFont val="Kalpurush"/>
      </rPr>
      <t>-৮৯.৮১৫৫১</t>
    </r>
  </si>
  <si>
    <t>মোছাঃ মমতাজ খাতুন ০১৯০৪৯৩৬০০১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</si>
  <si>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৫২৮-৮৯.৮০৭৭৩</t>
    </r>
  </si>
  <si>
    <t>মোঃ মোখলসেুর ০১৯১৭৮৪৪২১৯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</si>
  <si>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২১৭-৮৯.৮০৯৬৪</t>
    </r>
  </si>
  <si>
    <t>মোছাঃ শ্যামলী খাতুন ০১৯৬৩৯৭৬৩৬৬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</si>
  <si>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২৩৮-৮৯.৮০৯২৯</t>
    </r>
  </si>
  <si>
    <t>মোছাঃ মনরিা খাতুন ০১৯০৩৪১০১৪২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</si>
  <si>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০৫৪-৮৯.৮০৯৫</t>
    </r>
  </si>
  <si>
    <t>মোছাঃ রহমিা খাতুন ০১৭২৫২১৬৮৭৩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</si>
  <si>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০৫৩-৮৯.৮১০২৪</t>
    </r>
  </si>
  <si>
    <t>মোছাঃ নপিা খাতুন ০১৯৮১৮১৮৫২৫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</si>
  <si>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০৬৭-৮৯.৮০৯৯৬</t>
    </r>
  </si>
  <si>
    <t>মোছাঃ বগেম খাতুন  ০১৯২২৪৫৫৭১৮</t>
  </si>
  <si>
    <t>গ্রামঃ জয়নাল ডিলার পাড়া, ইউনিয়নঃ কোদালকাটি, উপজেলাঃ চর রাজিবপুরঃ জেলাঃ কুড়িগ্রাম।</t>
  </si>
  <si>
    <t>25.50175-89.76284</t>
  </si>
  <si>
    <t>মোঃ আব্দুল্লাহ ০১৭৯২৭৭০৮২৩</t>
  </si>
  <si>
    <t>হাফিজা খাতুন  ১৯৮৩৬২২২৭৫</t>
  </si>
  <si>
    <t>গ্রামঃ হাজী পাড়া, ইউনিয়নঃ কোদালকাটি, উপজেলাঃ চর রাজিবপুরঃ জেলাঃ কুড়িগ্রাম।</t>
  </si>
  <si>
    <t>25.50164-89.76285</t>
  </si>
  <si>
    <t>মোঃ রফিকুল ইসলাম ০১৭০৩৩৪২১০৩</t>
  </si>
  <si>
    <t>গ্রামঃ তেররশি পাড়া, ইউনিয়নঃ কোদালকাটি, উপজেলাঃ চর রাজিবপুরঃ জেলাঃ কুড়িগ্রাম।</t>
  </si>
  <si>
    <t>25.50169-89.763</t>
  </si>
  <si>
    <t>মোঃ আবু সাইদ ০১৬৪৮৭৭৯০৩৬</t>
  </si>
  <si>
    <t>25.50172-8976337</t>
  </si>
  <si>
    <t>মোঃ আরিফুল ইসলাম  ০১৭৮৮২৩৬৮১৬</t>
  </si>
  <si>
    <t>25.50195-89.76439</t>
  </si>
  <si>
    <t>মোঃ নুর হোসেন  ০১৯৭১৭৪৫৭৫৭</t>
  </si>
  <si>
    <t>25.50191-89.76519</t>
  </si>
  <si>
    <t>মোঃ ডাইভার হোসেন  ০১৬২৪২৭৮৪১২</t>
  </si>
  <si>
    <t>25.50213-89.76598</t>
  </si>
  <si>
    <t>মোঃ মানিক মিয়া  ০১৩২০৫৪৫৮০৪</t>
  </si>
  <si>
    <t>25.50236-89.76604</t>
  </si>
  <si>
    <t>মোছাঃ রমেছা খাতুন  ০১৪০৬৬৭৬১৬৫</t>
  </si>
  <si>
    <t>25.502276-89.76636</t>
  </si>
  <si>
    <t>মোঃ শাহ আলম  ০১৭৪১৭৩২৬৭৩</t>
  </si>
  <si>
    <t>25.50222-89.76642</t>
  </si>
  <si>
    <t>মোঃ ফরিজল হক  ০১৯০৭৯২৩৩৪১</t>
  </si>
  <si>
    <t>25.49762-89.76781</t>
  </si>
  <si>
    <t>মোঃ আবুল কালাম আজাদ ০১৮২১২২৮২৫৩</t>
  </si>
  <si>
    <t>254743-89.7678</t>
  </si>
  <si>
    <t>মোঃ মমিনুল ইসলাম ০১৯৫৩৪২৭৩৭৭</t>
  </si>
  <si>
    <t>25.49552-89.76726</t>
  </si>
  <si>
    <t>মোঃ নুরুল হক  ০১৬৪৮৭৭৯০৩৬</t>
  </si>
  <si>
    <t>25.50257-89.76734</t>
  </si>
  <si>
    <t>মোছাঃ মৌসুমী খাতুন  ০১৮৫৪৫৪৮৪৯৪</t>
  </si>
  <si>
    <t>25.50335-89.768669</t>
  </si>
  <si>
    <t>মোঃ সাইদুর রহমান ০১৭৫২০৫৪১৮২</t>
  </si>
  <si>
    <t>25.49771-89.76855</t>
  </si>
  <si>
    <t>মোঃ মমিনুল হক  ০১৯৫৩৪২৭৩৭৭</t>
  </si>
  <si>
    <t>25.49786-89.76835</t>
  </si>
  <si>
    <t>মোঃ খলিল ০১৯৬৫৮৬৭৪৬৭</t>
  </si>
  <si>
    <t>25.49765-89.76818</t>
  </si>
  <si>
    <t>মোঃ আঃ মান্নান  ০১৮২৮০৫৮৮০১</t>
  </si>
  <si>
    <t>25.50258-89.76701</t>
  </si>
  <si>
    <t>মোঃ মেহেদুল ইসলাম ০১৭৫২০৫৪১৮২</t>
  </si>
  <si>
    <t>25.49765-89.76809</t>
  </si>
  <si>
    <t>মোঃ রাশেদুল ইসলাম ০১৯৭৮০৫২২৭৯</t>
  </si>
  <si>
    <t>গ্রামঃ বালিয়ামারী, ইউনিয়নঃ চর রাজিবপুর, উপজেলাঃ চর রাজিবপুর, জেলাঃ কুড়িগ্রাম।</t>
  </si>
  <si>
    <t>25.4531-89.82571</t>
  </si>
  <si>
    <t>মোঃ আবু বক্কও  ০১৭৩০২১৩৮৮৬</t>
  </si>
  <si>
    <t xml:space="preserve"> মোঃ শাখাওয়াত হোসেন
   ০১৭৪৩৬৬৮৬৮০
</t>
  </si>
  <si>
    <t>25.45354-89.82546</t>
  </si>
  <si>
    <t>মোঃ তৌকির আহমেদ ০১৯৬৬৩৪৯১৬২</t>
  </si>
  <si>
    <t>25.45334-89.82611</t>
  </si>
  <si>
    <t>মোছাঃ আফরোজা খাতুন ০১৬১৩৯৪৭৭৭৫</t>
  </si>
  <si>
    <t>25.45348-89.82685</t>
  </si>
  <si>
    <t>মোছাঃ পারুল  ০১৯৪২৮৮৫০০২</t>
  </si>
  <si>
    <t>25.45361-89.82681</t>
  </si>
  <si>
    <t>মোঃ জয়নাল আবেদীন  ০১৯৪২৮৮৫৯৯২</t>
  </si>
  <si>
    <t>25.4541-89.82674</t>
  </si>
  <si>
    <t>মোঃ মোকলেছ উদ্দিন  ০১৪০৫২৫৬০৬৮</t>
  </si>
  <si>
    <t>25.45403-89.82729</t>
  </si>
  <si>
    <t>মোছাঃ সুফিয়া খাতুন ০১৯৮৩৩৪৯৩৫৭</t>
  </si>
  <si>
    <t>25.4535-89.82733</t>
  </si>
  <si>
    <t>বছির আলম ০১৯৪২০৬৮৩৬৭</t>
  </si>
  <si>
    <t>25.45354-8982736</t>
  </si>
  <si>
    <t>মোছাঃ মাহমুদা খাতুন ০১৯১৬৪২১৩৯৫</t>
  </si>
  <si>
    <t>25.45341-89.82812</t>
  </si>
  <si>
    <t>মোঃ মানিক মিয়া  ০১৯২২০২৮৯৭৫</t>
  </si>
  <si>
    <t>গ্রামঃ জালচিরাপাড়া, ইউনিয়নঃ চর রাজিবপুর, উপজেলাঃ চর রাজিবপুর, জেলাঃ কুড়িগ্রাম।</t>
  </si>
  <si>
    <t>মোঃ গোলাম হোসেন  ০১৮১৫৮১৪২২১</t>
  </si>
  <si>
    <t>25.43995-89.82345</t>
  </si>
  <si>
    <t>মোঃ নুরুজ্জামান  ০১৯৭৬১০০৬৮৬</t>
  </si>
  <si>
    <t>25.43827-89.82528</t>
  </si>
  <si>
    <t>মোছাঃ ওযুফা  খাতুন  ০১৯১০৫৩৮০০২</t>
  </si>
  <si>
    <t>25.43814-89.82607</t>
  </si>
  <si>
    <t>মোঃ ই¯্রাফিল হক  ০১৭৪৭৫৪৯৭৯৬</t>
  </si>
  <si>
    <t>25.43283-89.82583</t>
  </si>
  <si>
    <t>মোঃ ছালাম মিয়া ০১৯৩৫৬৩৩৯২৫</t>
  </si>
  <si>
    <t>25.44033-89.82836</t>
  </si>
  <si>
    <t>মোঃ মানিক মিয়া   ০১৮২৯৫৪৮৯৭৬</t>
  </si>
  <si>
    <t>গ্রামঃ পূর্ব জালচিরাপাড়া, ইউনিয়নঃ চর রাজিবপুর, উপজেলাঃ চর রাজিবপুর, জেলাঃ কুড়িগ্রাম।</t>
  </si>
  <si>
    <t>25.43313-89.82374</t>
  </si>
  <si>
    <t>মোঃ আজিবর রহমান  ০১৪০১৯৬৩০৩৬</t>
  </si>
  <si>
    <t>25.44095-89.82433</t>
  </si>
  <si>
    <t>মোঃ আইজুল ইসলাম  ০১৯৮৭৮৭৯৩৭৮</t>
  </si>
  <si>
    <t>25.4384-89.82476</t>
  </si>
  <si>
    <t>মোঃ নজরুল ইসলাম  ০১৯১৪২৯০৭৬২</t>
  </si>
  <si>
    <t>25.49897-89.82783</t>
  </si>
  <si>
    <t>মোঃ সফিউর রহমান  ০১৯৮৭৮৭৯৩৭৮</t>
  </si>
  <si>
    <t>25.43863-89.82468</t>
  </si>
  <si>
    <t>মোঃ সফিকুল ইসলাম ০১৯২৬৪৬১২০৭</t>
  </si>
  <si>
    <t>25.44089-89.82812</t>
  </si>
  <si>
    <t>মোঃ রাশেদুল ইসলাম ০১৯২০৪১০৪২৭</t>
  </si>
  <si>
    <t>25.4388-89.82367</t>
  </si>
  <si>
    <t>মোঃ মোনাহার আলী  ০১৩৪৩৮১৯৪৭৭</t>
  </si>
  <si>
    <t>25.43369-89.82366</t>
  </si>
  <si>
    <t>মোঃ মৈনুদ্দিন  ০১৯৩৪০৫২৪৯৪</t>
  </si>
  <si>
    <t>25.4383-89.82489</t>
  </si>
  <si>
    <t>মোছাঃ কহিনুর  ০১৯৮৪৩৫৭০৮</t>
  </si>
  <si>
    <t>25.43891-89.82782</t>
  </si>
  <si>
    <t>মোঃ তারু মিয়া  ০১৯৬২০৯৫৯৮</t>
  </si>
  <si>
    <t>গ্রামঃ গোয়ালপাড়া, ইউনিয়নঃ মোহনগঞ্জ, উপজেলাঃ চর রাজিবপুর, জেলাঃ কুড়িগ্রাম।</t>
  </si>
  <si>
    <t>25.413209-89.767715</t>
  </si>
  <si>
    <t>মোছাঃ সুলতানা পারভীন ০১৭৯৩৬৪৬৪০৬</t>
  </si>
  <si>
    <t xml:space="preserve">মোছাঃ দিলশাদ জাহান
০১৯৩৭৩৭১৬০৪
</t>
  </si>
  <si>
    <t>25.412461-89.767388</t>
  </si>
  <si>
    <t>মোঃ আব্দুস সালাম  ০১৬১৫২৫২৭৬২</t>
  </si>
  <si>
    <t>25.412654-89.767452</t>
  </si>
  <si>
    <t>মোঃ সোহেল রানা  ০১৬৪৮৪৯১১৪২</t>
  </si>
  <si>
    <t>25.413470-89.767654</t>
  </si>
  <si>
    <t>মোঃ ছলিম উদ্দিন ০১৯৯৫৬৬৮৮৭২</t>
  </si>
  <si>
    <t>25.414145-89.765339</t>
  </si>
  <si>
    <t>মোঃ মাইদুল ইসলাম  ০১৯২৫৭২৬৮০৯</t>
  </si>
  <si>
    <t>25.413133-89.767455</t>
  </si>
  <si>
    <t>মোঃ আল মামুন  ০১৭৬৬১০৭৬১৩</t>
  </si>
  <si>
    <t>25.412798-89.767453</t>
  </si>
  <si>
    <t>মোঃ ছানোয়ার হোসেন  ০১৮৩১৪৮৪০৪০</t>
  </si>
  <si>
    <t>25.413274-89.767470</t>
  </si>
  <si>
    <t>মোছাঃ কদভানু বেগম ০১৮২৮১৯২৯৪০</t>
  </si>
  <si>
    <t>25.413472-89.766374</t>
  </si>
  <si>
    <t>মোঃ রাশেদুল ইসলাম  ০১৭৩৪৩৭০৫০৯</t>
  </si>
  <si>
    <t>25.413118-89.767415</t>
  </si>
  <si>
    <t>মোঃ মাসুদ রানা  ০১৭৫৩৬৫৬৬০৩</t>
  </si>
  <si>
    <t>গ্রামঃ চর নেওয়াজী, ইউনিয়নঃ মোহনগঞ্জ, উপজেলাঃ চর রাজিবপুর, জেলাঃ কুড়িগ্রাম।</t>
  </si>
  <si>
    <t>25.42506-89.76709</t>
  </si>
  <si>
    <t>মোছাঃ আশামণি ০১৯৯৪৫৮৯০৮৯</t>
  </si>
  <si>
    <t>25.42571-89.76702</t>
  </si>
  <si>
    <t>মোঃ মাসুদ রানা ০১৯৯৪৫৮৯০৮৯</t>
  </si>
  <si>
    <t>25.42818-89.77167</t>
  </si>
  <si>
    <t>মোঃ জহুরুল ইসলাম  ০১৫১৯৬০৬০১১</t>
  </si>
  <si>
    <t>গ্রামঃ দিয়ারার চর, ইউনিয়নঃ মোহনগঞ্জ, উপজেলাঃ চর রাজিবপুর, জেলাঃ কুড়িগ্রাম।</t>
  </si>
  <si>
    <t>25.42281-89.77098</t>
  </si>
  <si>
    <t>মোঃ বদিউজ্জামান  ০১৯৩৭১৮২৩৩৬</t>
  </si>
  <si>
    <t>25.42813-89.77142</t>
  </si>
  <si>
    <t>মোছাঃ জবেদা বেগম  ০১৫১৯৬০৬০১০</t>
  </si>
  <si>
    <t>25.42876-89.77143</t>
  </si>
  <si>
    <t>মোঃ আকরাম হোসেন  ০১৫১৯৬০৬০১০</t>
  </si>
  <si>
    <t>25.42284-89.77108</t>
  </si>
  <si>
    <t>মোঃ হাফিজুর   ০১৯৩৪৭৮৮৯৩৪</t>
  </si>
  <si>
    <t>25.4298-89.77101</t>
  </si>
  <si>
    <t>মোঃ শফিকুল ইসলাম  ০১৭৮১১৭৫৫৬৫</t>
  </si>
  <si>
    <t>25.42669-89.77173</t>
  </si>
  <si>
    <t>মোঃ অছিউজ্জামান  ০১৪০৬২১৭৭৭১</t>
  </si>
  <si>
    <t>25.42811-89.77108</t>
  </si>
  <si>
    <t>মোছাঃ তানজিনা খাতুন  ০১৬৪৫৭৫০৪০৭</t>
  </si>
  <si>
    <t>25.42482-89.76615</t>
  </si>
  <si>
    <t>মোছাঃ আসমাউল হুসনা  ০১৭০৫১০৫৩৪৬</t>
  </si>
  <si>
    <t>25.42489-89.76602</t>
  </si>
  <si>
    <t>মোঃ সিরাজ উদ্দৌল্লা ০১৭০৬১০৫৩৪৬</t>
  </si>
  <si>
    <t xml:space="preserve">মোঃ আতোয়ার হোসেন
০১৭১০৮২৫৬২৩
</t>
  </si>
  <si>
    <t>25.4275-89.76555</t>
  </si>
  <si>
    <t>মোঃ মেহের চান  ০১৯১৭৬৮৩৯৫</t>
  </si>
  <si>
    <t>25.42747-89.7655</t>
  </si>
  <si>
    <t>মোঃ মাইদুল ইসলাম ০১৯১৭৬৮৩০৯৫</t>
  </si>
  <si>
    <t>25.42533-89.76436</t>
  </si>
  <si>
    <t>মোঃ রবিউল ইসলাম  ০১৬০৮০৯৯২৮৭</t>
  </si>
  <si>
    <t>25.42502-89.76367</t>
  </si>
  <si>
    <t>মোছাঃ রুপালী বেগম  ০১৬০৮০৯৯২৮০</t>
  </si>
  <si>
    <t>25.426060-8976383</t>
  </si>
  <si>
    <t>মোছাঃ মনির মিয়া ০১৮৫৯৭৯৩৮৩১</t>
  </si>
  <si>
    <t>25.403302-89.736597</t>
  </si>
  <si>
    <t>মোঃ আনোয়ার হোসেন  ০১৯৮৩৭৯৫৪২৯</t>
  </si>
  <si>
    <t>মোঃ শাবলু মিয়া  ০১৩২২১৪৮৩২২</t>
  </si>
  <si>
    <t>মোঃ আয়নাল হক  ০১৮৭৪৫৮২৫৩৪</t>
  </si>
  <si>
    <t>25.4249-89.77169</t>
  </si>
  <si>
    <t>মোছাঃ নুরুন্নাহার বেগম ০১৯৯৭৪৩৭৪৪২</t>
  </si>
  <si>
    <t>25.42515-89.77137</t>
  </si>
  <si>
    <t>মোছাঃ নাছিমা খাতুন ০১৮১০৭০৭৬২৬</t>
  </si>
  <si>
    <t>25.42481-89.77102</t>
  </si>
  <si>
    <t>মোঃ আব্দুল আজিজ ০১৬১০৩২৯১৫৪</t>
  </si>
  <si>
    <t>25.4285-89.77186</t>
  </si>
  <si>
    <t>মোঃ মতিউর রহমান ০১৯৩৭১৭৭৯৫২</t>
  </si>
  <si>
    <t>25.42492-89.77183</t>
  </si>
  <si>
    <t>মোঃ মিজানুর রহমান  ০১৯১৩৮৪৫২৫৩</t>
  </si>
  <si>
    <t>25.46405-89.77541</t>
  </si>
  <si>
    <t>মোঃ হাসানুল হক  ০১৮৬৪৮৬৮৬৫৮</t>
  </si>
  <si>
    <t>গ্রামঃ শংকরমাধবপুর নতুনপাড়া, ইউনিয়নঃ কোদালকাটি, উপজেলাঃ চর রাজিবপুর, জেলাঃ কুড়িগ্রাম।</t>
  </si>
  <si>
    <t>25.463507-89.77526</t>
  </si>
  <si>
    <t>মোঃ সোরহাব হোসেন  ০১৯৩৫৬৭৫৮৬৮</t>
  </si>
  <si>
    <t xml:space="preserve">মোঃ শফিকুল ইসলাম
০১৯২৪৬৯২০৭৫
</t>
  </si>
  <si>
    <t>25.463459-89.775239</t>
  </si>
  <si>
    <t>মোঃ নুর ইসলাম  ০১৯৩৮৫৬২৩৫৪</t>
  </si>
  <si>
    <t>25.46319-89.77541</t>
  </si>
  <si>
    <t>মোঃ ফুল মিয়া  ০১৮০৬০৪৮৯৯৯</t>
  </si>
  <si>
    <t>25.46288-89.77583</t>
  </si>
  <si>
    <t>মোঃ এমদাদুল হক  ০১৬৪১৩৫৬৭৮৬</t>
  </si>
  <si>
    <t>25.46053-89.77564</t>
  </si>
  <si>
    <t>মোঃ হানিফ আলী  ০১৮৫৮৮৮১৮৬৭</t>
  </si>
  <si>
    <t>25.46114-89.77571</t>
  </si>
  <si>
    <t>মোঃ হাবিবুর রহমান  ০১৮২৩২৯৮৮৩২</t>
  </si>
  <si>
    <t>25.45605-89.7765</t>
  </si>
  <si>
    <t>মোঃ আবুল হোসেন  ০১৬০৯২২১৭৩০</t>
  </si>
  <si>
    <t>25.46129-89.77545</t>
  </si>
  <si>
    <t>মোঃ আশরাফ আলী  ০১৬১১৩৬৫১৫৫</t>
  </si>
  <si>
    <t>25.47209-89.77721</t>
  </si>
  <si>
    <t>মোঃ সাইফুল ইসলাম ০১৯৬৯৫৯৬০৪৬</t>
  </si>
  <si>
    <t>25.45789-89.76852</t>
  </si>
  <si>
    <t>মোঃ ইকবাল হোসেন ০১৯৫৯৫৮৮৫৫৭</t>
  </si>
  <si>
    <t>গ্রামঃ শংকরমাধবপুর বিলপাড়া, ইউনিয়নঃ কোদালকাটি, উপজেলাঃ চর রাজিবপুর, জেলাঃ কুড়িগ্রাম।</t>
  </si>
  <si>
    <t>25.45807-89.767</t>
  </si>
  <si>
    <t>মোঃ শুক্কুর আলী ০১৯১৮৭৫৩২২০</t>
  </si>
  <si>
    <t>25.45833-89.7761</t>
  </si>
  <si>
    <t>মোঃ জয়েন উদ্দিন  ০১৯৩১৮২৬৬৬৪</t>
  </si>
  <si>
    <t>25.45583-89.76702</t>
  </si>
  <si>
    <t>মোঃ জোসন আলী</t>
  </si>
  <si>
    <t>25.45522-89.76677</t>
  </si>
  <si>
    <t>মোঃ আঃ মজিদ ০১৯১৮৪৮২১৯১৪৮</t>
  </si>
  <si>
    <t>25.47167-89.77596</t>
  </si>
  <si>
    <t>মোঃ হারুন মিয়া  ০১৬২৭০৪১৩১০</t>
  </si>
  <si>
    <t>25.45636-89.77661</t>
  </si>
  <si>
    <t>মোছাঃ আনোয়ারা খাতুন  ০১৬০৯৮৬০২৫</t>
  </si>
  <si>
    <t>25.463031-89.77541</t>
  </si>
  <si>
    <t>মোঃ আঃ আজিজ  ০১৮৫৮৮৮১৮৬৭</t>
  </si>
  <si>
    <t>25.46978-89.77595</t>
  </si>
  <si>
    <t>মোঃ আছর উদ্দিন  ০১৫৮০৪৭৩৯৭৭</t>
  </si>
  <si>
    <t>মোঃ মশিউর রহমান  ০১৩৬৪৭৭০৪৩</t>
  </si>
  <si>
    <t>25.47199-89.77729</t>
  </si>
  <si>
    <t>মোছাঃ জহুরা খাতুন  ০১৮৮৯৯৫২০২৩</t>
  </si>
  <si>
    <t>গ্রামঃ আনন্দ বাজার, ইউনিয়নঃ কোদালকাটি, উপজেলাঃ চর রাজিবপুর, জেলাঃ কুড়িগ্রাম।</t>
  </si>
  <si>
    <t>2547209-89.77741</t>
  </si>
  <si>
    <t>মোছাঃ জেসমিন খাতুন  ০১৯০৪৮৫৯১২০</t>
  </si>
  <si>
    <t>25.46668-89.7619</t>
  </si>
  <si>
    <t>মোছাঃ আদর আলী  ০১৯৪২১৭৫৬৫০</t>
  </si>
  <si>
    <t>25.45807-89.76712</t>
  </si>
  <si>
    <t>মোছাঃ মর্জিনা বেগম ০১৯৬৯১৬৫৫৬০</t>
  </si>
  <si>
    <t>25.45806-89.76861</t>
  </si>
  <si>
    <t>মোঃ আলীম  ০১৯২৬২৩৯৮১৪</t>
  </si>
  <si>
    <t>গ্রামঃ দক্ষিণ চর সাজাই, ইউনিয়নঃ কোদালকাটি, উপজেলাঃ চর রাজিবপুর, জেলাঃ কুড়িগ্রাম।</t>
  </si>
  <si>
    <t>25.483434-89.792378</t>
  </si>
  <si>
    <t>মোঃ সমের আলী ০১৭৮৩০২৭৯৫৩</t>
  </si>
  <si>
    <t xml:space="preserve">মোঃ আনোয়ার হোসেন
০১৭১৮১৬৫৪৯১
</t>
  </si>
  <si>
    <t>25.482685-89.792396</t>
  </si>
  <si>
    <t>মোঃ দুলাল মিয়া  ০১৯১৪৫৭৪০৭৫</t>
  </si>
  <si>
    <t>25.486542-89.795362</t>
  </si>
  <si>
    <t>মোঃ শাহজাহান ০১৯৮৮১৪৮১৩১</t>
  </si>
  <si>
    <t>25.467781-89.794970</t>
  </si>
  <si>
    <t>মোঃ আঃ করিম  ০১৯০৮২৩৬২১৫</t>
  </si>
  <si>
    <t>গ্রামঃ চর সাজাই তাজউদ্দিন মন্ডলপাড়া, ইউনিয়নঃ কোদালকাটি, উপজেলাঃ চর রাজিবপুর, জেলাঃ কুড়িগ্রাম।</t>
  </si>
  <si>
    <t>25.498313-89.779273</t>
  </si>
  <si>
    <t>মোঃ হাবেজ উদ্দিন  ০১৪০৫৯৬০৩০০</t>
  </si>
  <si>
    <t>25.496947-89.779314</t>
  </si>
  <si>
    <t>মোঃ আবু সামা ০১৯২২৫২৭৮৪০</t>
  </si>
  <si>
    <t>গ্রামঃ চর সাজাই ম্ষ্টার পাড়া, ইউনিয়নঃ কোদালকাটি, উপজেলাঃ চর রাজিবপুর, জেলাঃ কুড়িগ্রাম।</t>
  </si>
  <si>
    <t>25.496424-89.773006</t>
  </si>
  <si>
    <t>মোঃ হাসান মিয়া  ০১৯৪৮৪৫৩৭৭৫</t>
  </si>
  <si>
    <t>25.497345-89.778231</t>
  </si>
  <si>
    <t>মোছাঃ দেলোয়ারা খাতুন ০১৯৩৮১০৩২১৫</t>
  </si>
  <si>
    <t>গ্রামঃ চর সাজাই মন্ডলপাড়া, ইউনিয়নঃ কোদালকাটি, উপজেলাঃ চর রাজিবপুর, জেলাঃ কুড়িগ্রাম।</t>
  </si>
  <si>
    <t>25.498034-89.780624</t>
  </si>
  <si>
    <t>মোঃ মাজেদা খাতুন  ০১৯৬৮১৮৬৬৮৯</t>
  </si>
  <si>
    <t>25.497393-89.778170</t>
  </si>
  <si>
    <t>মোছাঃ ছাহেরা খাতুন  ০১৯২৭০৯৫৭৪৩</t>
  </si>
  <si>
    <t>25.496565-89.778095</t>
  </si>
  <si>
    <t>মোঃ আঃ কাদের  ০১৯৬৮১৯১৫১৩</t>
  </si>
  <si>
    <t>25.495823-89.775805</t>
  </si>
  <si>
    <t>মোঃ সোহানুর মিয়া  ০১৮১৬৯৪৪১০৯</t>
  </si>
  <si>
    <t>25.50488-89.77825</t>
  </si>
  <si>
    <t>মোঃ জায়েদুল রহমান  ০১৯৮৮৮৩২২১৩</t>
  </si>
  <si>
    <t>25.50766-89.78096</t>
  </si>
  <si>
    <t>মোঃ ইনছান আলী  ০১৯০৯০১৯৯০৪</t>
  </si>
  <si>
    <t>2550778-89.78210</t>
  </si>
  <si>
    <t>মোঃ দুদু মিয়া</t>
  </si>
  <si>
    <t>25.50996-89.78164</t>
  </si>
  <si>
    <t>মোছাঃ জাহানারা খাতুন ০১৩৩০২৫৯১২০</t>
  </si>
  <si>
    <t>25.50786-8978236</t>
  </si>
  <si>
    <t>মোঃ মোবশের আলম  ০১৯২২৯৮১৪৭৬</t>
  </si>
  <si>
    <t>25.51108-89.78194</t>
  </si>
  <si>
    <t>মোঃ এবাদুল হক  ০১৯৮৬৫৯১৮১১</t>
  </si>
  <si>
    <t>25.51042-89.7836</t>
  </si>
  <si>
    <t>মোঃ সবুজ মিয়া  ০১৯৮০১১৮৯৭৯</t>
  </si>
  <si>
    <t>25.50683-8978051</t>
  </si>
  <si>
    <t>মোঃ উজির আলী ০১৯৮০১৫১৩১১</t>
  </si>
  <si>
    <t>25.51009-89.78142</t>
  </si>
  <si>
    <t>মোঃ কালাম  ০১৩১৯৫৮৪৬৫</t>
  </si>
  <si>
    <t>25.50916-89.78147</t>
  </si>
  <si>
    <t>মোঃ মর্জিনা খাতুন  ০১৯৩০৫৩২২১১৮</t>
  </si>
  <si>
    <t>25.51056-89.7821</t>
  </si>
  <si>
    <t>মোছাঃ সাবিনা ইয়াসমিন  ০১৯৯৮২০৩৬০৪</t>
  </si>
  <si>
    <t>25.51016-89.78296</t>
  </si>
  <si>
    <t>মোঃ এরশাদুল হক  ০১৯৭৯৯৩৪৮৮৩</t>
  </si>
  <si>
    <t>25.51158-89.78213</t>
  </si>
  <si>
    <t>মোঃ তোতা মিয়া ০১৭৪২৮৮২০৭৯</t>
  </si>
  <si>
    <t>গ্রামঃ মন্ডলপাড়া, ইউনিয়নঃ কোদালকাটি, উপজেলাঃ চর রাজিবপুর, জেলাঃ কুড়িগ্রাম।</t>
  </si>
  <si>
    <t>25.50534-89.77894</t>
  </si>
  <si>
    <t>মোছাঃ চায়না খাতুন  ০১৭৮০৪৫৮৮৬৪</t>
  </si>
  <si>
    <t>গ্রামঃ চর সাজাই সরকার পাড়া, ইউনিয়নঃ কোদালকাটি, উপজেলাঃ চর রাজিবপুর, জেলাঃ কুড়িগ্রাম।</t>
  </si>
  <si>
    <t>25.484813-89.769911</t>
  </si>
  <si>
    <t>মোঃ সিরাজুল ইসলাম  ০১৯৩১৪২১২৫৫</t>
  </si>
  <si>
    <t>গ্রামঃ দক্ষিণ চর সাজাই পাখিউড়া, ইউনিয়নঃ কোদালকাটি, উপজেলাঃ চর রাজিবপুর, জেলাঃ কুড়িগ্রাম।</t>
  </si>
  <si>
    <t>25.472249-89.792834</t>
  </si>
  <si>
    <t>মোঃ নজরুল ইসলাম  ০১৯৪৫৮০৪৮৬৫</t>
  </si>
  <si>
    <t>গ্রামঃ পাটাধোয়া পাড়া, ইউনিয়নঃ মোহানগঞ্জ, উপজেলাঃ চর রাজিবপুর, জেলাঃ কুড়িগ্রা</t>
  </si>
  <si>
    <t>25.44297-89.79102</t>
  </si>
  <si>
    <t>মোছাঃ আফরোজা খাতুন  ০১৮৪৫৫৬৪৬৫৫</t>
  </si>
  <si>
    <t xml:space="preserve">মোঃ মশিউর রহমান
০১৭১২৩৪০৯৯৬
</t>
  </si>
  <si>
    <t>25.44292-89.791</t>
  </si>
  <si>
    <t>মোঃ হাফিজুর রহমান  ০১৭৪২৭৩৭৭৭১</t>
  </si>
  <si>
    <t>গ্রামঃ তেররশি পাড়া, ইউনিয়নঃ মোহানগঞ্জ, উপজেলাঃ চর রাজিবপুর, জেলাঃ কুড়িগ্রাম।</t>
  </si>
  <si>
    <t>25.44276-89.79085</t>
  </si>
  <si>
    <t>মোঃ হাফিজুর রহমান  ০১৮১০৪২৮৮৫৩</t>
  </si>
  <si>
    <t>গ্রামঃ পাটাধোয়া পাড়া, ইউনিয়নঃ মোহানগঞ্জ, উপজেলাঃ চর রাজিবপুর, জেলাঃ কুড়িগ্রাম।</t>
  </si>
  <si>
    <t>25.44268-89.79083</t>
  </si>
  <si>
    <t>মোঃ ফরহাদ হোসেন  ০১৮২৩৩০৫৪৬৪</t>
  </si>
  <si>
    <t>25.44275-89.79072</t>
  </si>
  <si>
    <t>মোছাঃ সাজেদা খাতুন  ০১৮৭৮৪৫১৩৮৭</t>
  </si>
  <si>
    <t>গ্রামঃ নয়ারচর, ইউনিয়নঃ মোহানগঞ্জ, উপজেলাঃ চর রাজিবপুর, জেলাঃ কুড়িগ্রাম।</t>
  </si>
  <si>
    <t>25.40475-89.76402</t>
  </si>
  <si>
    <t>মোঃ এরশাদ হোসেন  ০১৩২৫১২৫৮১৭</t>
  </si>
  <si>
    <t>25.40475-89.76399</t>
  </si>
  <si>
    <t>মোঃ মিজানুর রহমান  ০১৭২১২১৭৬১৮</t>
  </si>
  <si>
    <t>25.40472-89.76398</t>
  </si>
  <si>
    <t>মোঃ নুরজাহান  ০১৮৭৮৪৪৩৯৯৩</t>
  </si>
  <si>
    <t>25.40472-89.76397</t>
  </si>
  <si>
    <t>মোঃ ফরিদুল ইসলাম ০১৩২৫১২৫৮১৭</t>
  </si>
  <si>
    <t>25.40477-89.76394</t>
  </si>
  <si>
    <t>মোছাঃ আলুফা ০১৭২১২১৭৬১৮</t>
  </si>
  <si>
    <t>25.40479-89.76355</t>
  </si>
  <si>
    <t>মোছাঃ জাহানারা খাতুন  ০১৮৭৮৪৪৩৯৯৩</t>
  </si>
  <si>
    <t>মোঃ চান মিয়া  ০১৯৮২৯১৫৯৭৫</t>
  </si>
  <si>
    <t>25.40468-89.76395</t>
  </si>
  <si>
    <t>মোছাঃ আসমা খাতুন ০১৩০৫৪৫৫৮৪২</t>
  </si>
  <si>
    <t>মোছাঃ খইফুল নেছা ০১৭৮৭১১৩৮৪০</t>
  </si>
  <si>
    <t>25.40475-89.76403</t>
  </si>
  <si>
    <t>মোঃ আজাহার আলী  ০১৯২১২১৩৫৭০</t>
  </si>
  <si>
    <t>গ্রামঃ মাষ্টারপাড়া, ইউনিয়নঃ মোহানগঞ্জ, উপজেলাঃ চর রাজিবপুর, জেলাঃ কুড়িগ্রাম।</t>
  </si>
  <si>
    <t>25.44262-89.79068</t>
  </si>
  <si>
    <t>মোঃ আঃ রশিদ  ০১৭৭৭৮৭০৭৫৮</t>
  </si>
  <si>
    <t>25.44292-89.7908</t>
  </si>
  <si>
    <t>মোছাঃ লাকী পাভীন ০১৮৭৯৫৬০৫৮২</t>
  </si>
  <si>
    <t>গ্রামঃ সরকারপাড়া, ইউনিয়নঃ মোহানগঞ্জ, উপজেলাঃ চর রাজিবপুর, জেলাঃ কুড়িগ্রাম।</t>
  </si>
  <si>
    <t>25.44295-89.79082</t>
  </si>
  <si>
    <t>মোঃ এরশাদুল হক ০১৭৯৪৪৭৮৯৬৩</t>
  </si>
  <si>
    <t>25.4048-89.76387</t>
  </si>
  <si>
    <t>মোঃ জাকিরুল ইসলাম  ০১৭৩১৫৭২৭১৮</t>
  </si>
  <si>
    <t>মোঃ আমিনুল ইসলাম ০১৭৯৬৪৫০৯২২</t>
  </si>
  <si>
    <t>25.45156-89.81366</t>
  </si>
  <si>
    <t>মোঃ নাসির আহমেদ ০১৭০০৬৩২৩১০</t>
  </si>
  <si>
    <t>25.44277-89.78998</t>
  </si>
  <si>
    <t>মোঃ সোলায়মান হোসেন ০১৭৯৬৬৯৩০৯২</t>
  </si>
  <si>
    <t>25.44267-89.79017</t>
  </si>
  <si>
    <t>আব্দুল্লাহ আল নোমান ০১৯৪৬৭৭৬২১০</t>
  </si>
  <si>
    <t>25.44273-89.79039</t>
  </si>
  <si>
    <t>মোঃ নুরুল ইসলাম ০১৭২৯৩১৪৬৮৩</t>
  </si>
  <si>
    <t>25.44257-89.79065</t>
  </si>
  <si>
    <t>মোঃ দুলাল হোসেন  ০১৯১৭৪৬৪২৩০</t>
  </si>
  <si>
    <t>25.45053-89.81024</t>
  </si>
  <si>
    <t>মোঃ দেলোয়ার হোসেন  ০১৭৭৯০৫২৫৪৪</t>
  </si>
  <si>
    <t>25.45067-89.80996</t>
  </si>
  <si>
    <t>মোঃ আজিজুর রহমান  ০১৭৮২৯১২৯০০</t>
  </si>
  <si>
    <t>25.50488-89.77826</t>
  </si>
  <si>
    <t>মোঃ সোলায়মান হোসেন ০১৭৬৭৫৪৯৫৭৪</t>
  </si>
  <si>
    <t>25.45121-89.80975</t>
  </si>
  <si>
    <t>মোঃ ছাইফুল ইসলাম  ০১৯৩২২০১২১০</t>
  </si>
  <si>
    <t>25.45117-89.81354</t>
  </si>
  <si>
    <t>মোঃ ইব্রাহীম হোসেন ০১৮৪৮৫৯৪১৩৯</t>
  </si>
  <si>
    <t>Source: 25 Crore Tree Plantation Program - Recipient: E-mail-input2@moa.gov.bd | Ministry of Agriculture, Government of Bangladesh</t>
  </si>
  <si>
    <t>EMAIL REPORTING INSTRUCTIONS</t>
  </si>
  <si>
    <t>Weekly Reporting Protocol  |  DAE and Ministry of Agriculture</t>
  </si>
  <si>
    <t>সাপ্তাহিক প্রতিবেদন প্রেরণের ইমেইল নির্দেশিকা ও সময়সূচী</t>
  </si>
  <si>
    <t>বিভাগ/অফিস</t>
  </si>
  <si>
    <t>দায়িত্বপ্রাপ্ত কর্মকর্তা/উইং</t>
  </si>
  <si>
    <t>ইমেইল ঠিকানা (Email Addresses)</t>
  </si>
  <si>
    <t>প্রতিবেদন ফ্রিকোয়েন্সি</t>
  </si>
  <si>
    <t>কৃষি সম্প্রসারণ অধিদপ্তর (DAE)</t>
  </si>
  <si>
    <t>মনিটরিং উইং</t>
  </si>
  <si>
    <t>প্রতি সপ্তাহের শেষ কার্যদিবস</t>
  </si>
  <si>
    <t>বাস্তবায়ন উইং</t>
  </si>
  <si>
    <t>ddimplement@dae.gov.bd</t>
  </si>
  <si>
    <t>কৃষি মন্ত্রণালয় (MoA)</t>
  </si>
  <si>
    <t>ইনপুট-২ শাখা</t>
  </si>
  <si>
    <t>সাপ্তাহিক সমন্বিত প্রতিবেদন</t>
  </si>
  <si>
    <t>বিকল্প অফিসিয়াল মেইল</t>
  </si>
  <si>
    <t>moa.input2@gmail.com</t>
  </si>
  <si>
    <t>ব্যাকআপ/অনুলিপি</t>
  </si>
  <si>
    <t>ইমেইল প্রেরণের স্ট্যান্ডার্ড ফরম্যাট (Template)</t>
  </si>
  <si>
    <t>বিষয় (Subject):</t>
  </si>
  <si>
    <t>সাপ্তাহিক বৃক্ষরোপণ কর্মসূচির অগ্রগতি প্রতিবেদন - [উপজেলা/জেলার নাম] (সপ্তাহ: [তারিখ হতে তারিখ])</t>
  </si>
  <si>
    <t>প্রাপক (To):</t>
  </si>
  <si>
    <t>admonitoring@dae.gov.bd, ddimplement@dae.gov.bd</t>
  </si>
  <si>
    <t>অনুলিপি (Cc):</t>
  </si>
  <si>
    <t>E-mail-input2@moa.gov.bd, moa.input2@gmail.com</t>
  </si>
  <si>
    <t>সংযুক্তি (Attachment):</t>
  </si>
  <si>
    <t>পূরণকৃত এক্সেল ফাইলটি (বৃক্ষরোপণ_ফরম_[মাস_সপ্তাহ].xlsx) সংযুক্ত করুন।</t>
  </si>
  <si>
    <t>GPS COORDINATES REFERENCE (DMS FORMAT)</t>
  </si>
  <si>
    <t>24 Plantation Site Coordinates  |  For GIS and Mapping Software Import</t>
  </si>
  <si>
    <t>25°31'40.1"N 89°49'37.3"E</t>
  </si>
  <si>
    <t>এখানে দুই কলামের ফরম্যাট দেওয়া হলো। আপনি এটি সরাসরি সিলেক্ট করে কপি করে Excel, Google Sheets অথবা যেকোনো স্প্রেডশিটে সরাসরি পেস্ট (Ctrl+V) করতে পারবেন:</t>
  </si>
  <si>
    <t>25°31'39.3"N 89°49'38.5"E</t>
  </si>
  <si>
    <t>Excel/Google Sheets-এ পেস্ট করার জন্য (Tab-separated)</t>
  </si>
  <si>
    <t>25°32'53.0"N 89°49'11.5"E</t>
  </si>
  <si>
    <t>Latitude Longitude 25°31'40.1"N 89°49'37.3"E 25°31'39.3"N 89°49'38.5"E 25°32'53.0"N 89°49'11.5"E 25°32'35.0"N 89°48'44.9"E 25°33'36.6"N 89°47'15.1"E 25°32'57.3"N 89°50'02.4"E 25°32'37.7"N 89°49'57.6"E 25°33'04.6"N 89°48'18.9"E 25°33'05.5"N 89°48'14.9"E 25°32'37.5"N 89°48'23.9"E 25°32'53.1"N 89°48'24.6"E 25°32'50.2"N 89°48'24.9"E 25°32'37.8"N 89°48'45.0"E 25°32'54.7"N 89°50'11.8"E 25°33'04.4"N 89°48'43.4"E 25°33'03.9"N 89°48'44.1"E 25°32'58.3"N 89°48'53.8"E 25°32'58.1"N 89°48'54.9"E 25°32'57.8"N 89°48'55.0"E 25°33'07.1"N 89°48'45.9"E 25°33'06.3"N 89°48'45.8"E 25°33'06.8"N 89°48'45.8"E 25°32'27.4"N 89°48'46.4"E 25°33'01.1"N 89°48'50.5"E</t>
  </si>
  <si>
    <t>25°32'35.0"N 89°48'44.9"E</t>
  </si>
  <si>
    <t>25°33'36.6"N 89°47'15.1"E</t>
  </si>
  <si>
    <t>25°32'57.3"N 89°50'02.4"E</t>
  </si>
  <si>
    <t>25°32'37.7"N 89°49'57.6"E</t>
  </si>
  <si>
    <t>25°33'04.6"N 89°48'18.9"E</t>
  </si>
  <si>
    <t>25°33'05.5"N 89°48'14.9"E</t>
  </si>
  <si>
    <t>25°32'37.5"N 89°48'23.9"E</t>
  </si>
  <si>
    <t>25°32'53.1"N 89°48'24.6"E</t>
  </si>
  <si>
    <t>25°32'50.2"N 89°48'24.9"E</t>
  </si>
  <si>
    <t>25°32'37.8"N 89°48'45.0"E</t>
  </si>
  <si>
    <t>25°32'54.7"N 89°50'11.8"E</t>
  </si>
  <si>
    <t>25°33'04.4"N 89°48'43.4"E</t>
  </si>
  <si>
    <t>25°33'03.9"N 89°48'44.1"E</t>
  </si>
  <si>
    <t>25°32'58.3"N 89°48'53.8"E</t>
  </si>
  <si>
    <t>25°32'58.1"N 89°48'54.9"E</t>
  </si>
  <si>
    <t>25°32'57.8"N 89°48'55.0"E</t>
  </si>
  <si>
    <t>25°33'07.1"N 89°48'45.9"E</t>
  </si>
  <si>
    <t>25°33'06.3"N 89°48'45.8"E</t>
  </si>
  <si>
    <t>25°33'06.8"N 89°48'45.8"E</t>
  </si>
  <si>
    <t>25°32'27.4"N 89°48'46.4"E</t>
  </si>
  <si>
    <t>25°33'01.1"N 89°48'50.5"E</t>
  </si>
  <si>
    <t>Source: Plantation Site GIS Registry - DMS Format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</si>
</sst>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h:mm:ss"/>
    <numFmt numFmtId="165" formatCode="dd/mm/yyyy"/>
    <numFmt numFmtId="166" formatCode="00000000000"/>
    <numFmt numFmtId="167" formatCode="[$-5000445]0"/>
    <numFmt numFmtId="168" formatCode="[$-5000000]mm/dd/yyyy"/>
    <numFmt numFmtId="169" formatCode="d/m/yyyy"/>
  </numFmts>
  <fonts count="44" x14ac:knownFonts="1">
    <font>
      <sz val="11"/>
      <color rgb="FF000000"/>
      <name val="Arial"/>
      <scheme val="minor"/>
    </font>
    <font>
      <b/>
      <sz val="22"/>
      <color rgb="FFFFFFFF"/>
      <name val="Calibri"/>
    </font>
    <font>
      <sz val="11"/>
      <name val="Arial"/>
    </font>
    <font>
      <i/>
      <sz val="11"/>
      <color rgb="FFFFFFFF"/>
      <name val="Calibri"/>
    </font>
    <font>
      <b/>
      <sz val="9"/>
      <color rgb="FFFFFFFF"/>
      <name val="Calibri"/>
    </font>
    <font>
      <b/>
      <sz val="28"/>
      <color rgb="FF1B5E20"/>
      <name val="Calibri"/>
    </font>
    <font>
      <b/>
      <sz val="28"/>
      <color rgb="FF2E7D32"/>
      <name val="Calibri"/>
    </font>
    <font>
      <b/>
      <sz val="28"/>
      <color rgb="FF388E3C"/>
      <name val="Calibri"/>
    </font>
    <font>
      <b/>
      <sz val="28"/>
      <color rgb="FF43A047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0"/>
      <color rgb="FF1B5E20"/>
      <name val="Calibri"/>
    </font>
    <font>
      <b/>
      <sz val="12"/>
      <color rgb="FFFFFFFF"/>
      <name val="Calibri"/>
    </font>
    <font>
      <i/>
      <sz val="9"/>
      <color rgb="FF616161"/>
      <name val="Calibri"/>
    </font>
    <font>
      <b/>
      <sz val="10"/>
      <color rgb="FFFFFFFF"/>
      <name val="Calibri"/>
    </font>
    <font>
      <sz val="10"/>
      <color rgb="FF263238"/>
      <name val="Calibri"/>
    </font>
    <font>
      <sz val="11"/>
      <color theme="1"/>
      <name val="Arial"/>
      <scheme val="minor"/>
    </font>
    <font>
      <sz val="11"/>
      <color theme="1"/>
      <name val="Arial"/>
    </font>
    <font>
      <b/>
      <sz val="15"/>
      <color rgb="FFFFFFFF"/>
      <name val="Calibri"/>
    </font>
    <font>
      <i/>
      <sz val="10"/>
      <color rgb="FFFFFFFF"/>
      <name val="Calibri"/>
    </font>
    <font>
      <b/>
      <sz val="14"/>
      <color theme="1"/>
      <name val="NikoshBAN"/>
    </font>
    <font>
      <b/>
      <sz val="12"/>
      <color theme="1"/>
      <name val="NikoshBAN"/>
    </font>
    <font>
      <sz val="12"/>
      <color theme="1"/>
      <name val="Arial"/>
    </font>
    <font>
      <sz val="11"/>
      <color theme="1"/>
      <name val="Nikosh"/>
    </font>
    <font>
      <sz val="11"/>
      <color theme="1"/>
      <name val="NikoshBAN"/>
    </font>
    <font>
      <sz val="11"/>
      <color theme="1"/>
      <name val="SutonnyMJ"/>
    </font>
    <font>
      <sz val="12"/>
      <color theme="1"/>
      <name val="NikoshBAN"/>
    </font>
    <font>
      <sz val="14"/>
      <color theme="1"/>
      <name val="SutonnyMJ"/>
    </font>
    <font>
      <sz val="14"/>
      <color theme="1"/>
      <name val="NikoshBAN"/>
    </font>
    <font>
      <b/>
      <sz val="11"/>
      <color rgb="FF263238"/>
      <name val="Calibri"/>
    </font>
    <font>
      <b/>
      <sz val="14"/>
      <color rgb="FFFFFFFF"/>
      <name val="Calibri"/>
    </font>
    <font>
      <b/>
      <sz val="16"/>
      <color rgb="FFFFFFFF"/>
      <name val="Calibri"/>
    </font>
    <font>
      <sz val="11"/>
      <color rgb="FF263238"/>
      <name val="Calibri"/>
    </font>
    <font>
      <sz val="10"/>
      <color rgb="FF000000"/>
      <name val="Consolas"/>
    </font>
    <font>
      <sz val="8"/>
      <color rgb="FF000000"/>
      <name val="SutonnyMJ"/>
    </font>
    <font>
      <sz val="8"/>
      <color theme="1"/>
      <name val="Times New Roman"/>
    </font>
    <font>
      <sz val="8"/>
      <color theme="1"/>
      <name val="SutonnyMJ"/>
    </font>
    <font>
      <sz val="8"/>
      <color rgb="FF000000"/>
      <name val="Kalpurush"/>
    </font>
    <font>
      <sz val="8"/>
      <color theme="1"/>
      <name val="SutonnyOMJ"/>
    </font>
    <font>
      <sz val="8"/>
      <color theme="1"/>
      <name val="Kalpurush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388E3C"/>
        <bgColor rgb="FF388E3C"/>
      </patternFill>
    </fill>
    <fill>
      <patternFill patternType="solid">
        <fgColor rgb="FF43A047"/>
        <bgColor rgb="FF43A047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1F8E9"/>
        <bgColor rgb="FFF1F8E9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E6C9"/>
      </left>
      <right/>
      <top style="thin">
        <color rgb="FFC8E6C9"/>
      </top>
      <bottom/>
      <diagonal/>
    </border>
    <border>
      <left/>
      <right style="thin">
        <color rgb="FFC8E6C9"/>
      </right>
      <top style="thin">
        <color rgb="FFC8E6C9"/>
      </top>
      <bottom/>
      <diagonal/>
    </border>
    <border>
      <left style="thin">
        <color rgb="FFC8E6C9"/>
      </left>
      <right/>
      <top/>
      <bottom style="thin">
        <color rgb="FFC8E6C9"/>
      </bottom>
      <diagonal/>
    </border>
    <border>
      <left/>
      <right style="thin">
        <color rgb="FFC8E6C9"/>
      </right>
      <top/>
      <bottom style="thin">
        <color rgb="FFC8E6C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A5D6A7"/>
      </left>
      <right style="thin">
        <color rgb="FFA5D6A7"/>
      </right>
      <top style="thick">
        <color rgb="FF1B5E20"/>
      </top>
      <bottom style="thin">
        <color rgb="FFA5D6A7"/>
      </bottom>
      <diagonal/>
    </border>
    <border>
      <left style="thick">
        <color rgb="FF388E3C"/>
      </left>
      <right/>
      <top style="thick">
        <color rgb="FF388E3C"/>
      </top>
      <bottom/>
      <diagonal/>
    </border>
    <border>
      <left/>
      <right style="thick">
        <color rgb="FF388E3C"/>
      </right>
      <top style="thick">
        <color rgb="FF388E3C"/>
      </top>
      <bottom/>
      <diagonal/>
    </border>
    <border>
      <left style="thick">
        <color rgb="FF388E3C"/>
      </left>
      <right/>
      <top/>
      <bottom style="thick">
        <color rgb="FF388E3C"/>
      </bottom>
      <diagonal/>
    </border>
    <border>
      <left/>
      <right style="thick">
        <color rgb="FF388E3C"/>
      </right>
      <top/>
      <bottom style="thick">
        <color rgb="FF388E3C"/>
      </bottom>
      <diagonal/>
    </border>
    <border>
      <left style="thin">
        <color rgb="FFA5D6A7"/>
      </left>
      <right/>
      <top style="thin">
        <color rgb="FFA5D6A7"/>
      </top>
      <bottom style="thin">
        <color rgb="FFA5D6A7"/>
      </bottom>
      <diagonal/>
    </border>
    <border>
      <left/>
      <right style="thin">
        <color rgb="FFA5D6A7"/>
      </right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/>
      <right/>
      <top style="thin">
        <color rgb="FF388E3C"/>
      </top>
      <bottom/>
      <diagonal/>
    </border>
    <border>
      <left/>
      <right/>
      <top style="thin">
        <color rgb="FF388E3C"/>
      </top>
      <bottom/>
      <diagonal/>
    </border>
    <border>
      <left/>
      <right/>
      <top style="thin">
        <color rgb="FF388E3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1B5E2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E6C9"/>
      </left>
      <right/>
      <top style="thin">
        <color rgb="FFC8E6C9"/>
      </top>
      <bottom style="thin">
        <color rgb="FFC8E6C9"/>
      </bottom>
      <diagonal/>
    </border>
    <border>
      <left/>
      <right/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/>
    <xf numFmtId="0" fontId="10" fillId="4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left" vertical="center"/>
    </xf>
    <xf numFmtId="3" fontId="11" fillId="6" borderId="10" xfId="0" applyNumberFormat="1" applyFont="1" applyFill="1" applyBorder="1" applyAlignment="1">
      <alignment horizontal="righ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left" vertical="center"/>
    </xf>
    <xf numFmtId="3" fontId="11" fillId="8" borderId="10" xfId="0" applyNumberFormat="1" applyFont="1" applyFill="1" applyBorder="1" applyAlignment="1">
      <alignment horizontal="right" vertical="center"/>
    </xf>
    <xf numFmtId="10" fontId="11" fillId="8" borderId="10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/>
    </xf>
    <xf numFmtId="0" fontId="13" fillId="6" borderId="10" xfId="0" applyFont="1" applyFill="1" applyBorder="1" applyAlignment="1">
      <alignment horizontal="center" vertical="center"/>
    </xf>
    <xf numFmtId="3" fontId="13" fillId="6" borderId="10" xfId="0" applyNumberFormat="1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horizontal="left" vertical="center"/>
    </xf>
    <xf numFmtId="0" fontId="13" fillId="8" borderId="10" xfId="0" applyFont="1" applyFill="1" applyBorder="1" applyAlignment="1">
      <alignment horizontal="center" vertical="center"/>
    </xf>
    <xf numFmtId="3" fontId="13" fillId="8" borderId="10" xfId="0" applyNumberFormat="1" applyFont="1" applyFill="1" applyBorder="1" applyAlignment="1">
      <alignment horizontal="right" vertical="center"/>
    </xf>
    <xf numFmtId="0" fontId="14" fillId="7" borderId="11" xfId="0" applyFont="1" applyFill="1" applyBorder="1" applyAlignment="1">
      <alignment horizontal="left" vertical="center"/>
    </xf>
    <xf numFmtId="3" fontId="14" fillId="7" borderId="11" xfId="0" applyNumberFormat="1" applyFont="1" applyFill="1" applyBorder="1" applyAlignment="1">
      <alignment horizontal="right" vertical="center"/>
    </xf>
    <xf numFmtId="10" fontId="14" fillId="7" borderId="11" xfId="0" applyNumberFormat="1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4" fontId="19" fillId="6" borderId="19" xfId="0" applyNumberFormat="1" applyFont="1" applyFill="1" applyBorder="1" applyAlignment="1">
      <alignment vertical="center"/>
    </xf>
    <xf numFmtId="0" fontId="19" fillId="6" borderId="19" xfId="0" applyFont="1" applyFill="1" applyBorder="1" applyAlignment="1">
      <alignment vertical="center"/>
    </xf>
    <xf numFmtId="14" fontId="19" fillId="6" borderId="19" xfId="0" applyNumberFormat="1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164" fontId="19" fillId="8" borderId="19" xfId="0" applyNumberFormat="1" applyFont="1" applyFill="1" applyBorder="1" applyAlignment="1">
      <alignment vertical="center"/>
    </xf>
    <xf numFmtId="0" fontId="19" fillId="8" borderId="19" xfId="0" applyFont="1" applyFill="1" applyBorder="1" applyAlignment="1">
      <alignment vertical="center"/>
    </xf>
    <xf numFmtId="14" fontId="19" fillId="8" borderId="19" xfId="0" applyNumberFormat="1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164" fontId="19" fillId="6" borderId="0" xfId="0" applyNumberFormat="1" applyFont="1" applyFill="1" applyAlignment="1">
      <alignment vertical="center"/>
    </xf>
    <xf numFmtId="164" fontId="19" fillId="8" borderId="0" xfId="0" applyNumberFormat="1" applyFont="1" applyFill="1" applyAlignment="1">
      <alignment vertical="center"/>
    </xf>
    <xf numFmtId="0" fontId="20" fillId="0" borderId="0" xfId="0" applyFont="1"/>
    <xf numFmtId="165" fontId="21" fillId="0" borderId="0" xfId="0" applyNumberFormat="1" applyFont="1"/>
    <xf numFmtId="166" fontId="18" fillId="4" borderId="9" xfId="0" applyNumberFormat="1" applyFont="1" applyFill="1" applyBorder="1" applyAlignment="1">
      <alignment horizontal="center" vertical="center"/>
    </xf>
    <xf numFmtId="0" fontId="21" fillId="0" borderId="0" xfId="0" applyFont="1"/>
    <xf numFmtId="166" fontId="21" fillId="0" borderId="0" xfId="0" applyNumberFormat="1" applyFont="1"/>
    <xf numFmtId="164" fontId="19" fillId="8" borderId="19" xfId="0" applyNumberFormat="1" applyFont="1" applyFill="1" applyBorder="1" applyAlignment="1">
      <alignment vertical="center"/>
    </xf>
    <xf numFmtId="166" fontId="19" fillId="8" borderId="19" xfId="0" applyNumberFormat="1" applyFont="1" applyFill="1" applyBorder="1" applyAlignment="1">
      <alignment vertical="center"/>
    </xf>
    <xf numFmtId="164" fontId="19" fillId="6" borderId="19" xfId="0" applyNumberFormat="1" applyFont="1" applyFill="1" applyBorder="1" applyAlignment="1">
      <alignment vertical="center"/>
    </xf>
    <xf numFmtId="166" fontId="19" fillId="6" borderId="19" xfId="0" applyNumberFormat="1" applyFont="1" applyFill="1" applyBorder="1" applyAlignment="1">
      <alignment vertical="center"/>
    </xf>
    <xf numFmtId="0" fontId="25" fillId="0" borderId="24" xfId="0" applyFont="1" applyBorder="1"/>
    <xf numFmtId="0" fontId="25" fillId="0" borderId="25" xfId="0" applyFont="1" applyBorder="1" applyAlignment="1">
      <alignment horizontal="center" wrapText="1"/>
    </xf>
    <xf numFmtId="0" fontId="25" fillId="0" borderId="25" xfId="0" applyFont="1" applyBorder="1" applyAlignment="1">
      <alignment horizontal="center"/>
    </xf>
    <xf numFmtId="0" fontId="26" fillId="0" borderId="0" xfId="0" applyFont="1"/>
    <xf numFmtId="167" fontId="24" fillId="0" borderId="24" xfId="0" applyNumberFormat="1" applyFont="1" applyBorder="1" applyAlignment="1">
      <alignment horizontal="center"/>
    </xf>
    <xf numFmtId="167" fontId="24" fillId="0" borderId="25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8" fillId="0" borderId="25" xfId="0" applyFont="1" applyBorder="1"/>
    <xf numFmtId="167" fontId="27" fillId="0" borderId="25" xfId="0" applyNumberFormat="1" applyFont="1" applyBorder="1" applyAlignment="1">
      <alignment horizontal="center" wrapText="1"/>
    </xf>
    <xf numFmtId="0" fontId="29" fillId="0" borderId="25" xfId="0" applyFont="1" applyBorder="1" applyAlignment="1">
      <alignment horizontal="center"/>
    </xf>
    <xf numFmtId="0" fontId="21" fillId="0" borderId="25" xfId="0" applyFont="1" applyBorder="1"/>
    <xf numFmtId="0" fontId="30" fillId="0" borderId="25" xfId="0" applyFont="1" applyBorder="1" applyAlignment="1">
      <alignment wrapText="1"/>
    </xf>
    <xf numFmtId="166" fontId="30" fillId="0" borderId="25" xfId="0" applyNumberFormat="1" applyFont="1" applyBorder="1"/>
    <xf numFmtId="166" fontId="28" fillId="0" borderId="25" xfId="0" applyNumberFormat="1" applyFont="1" applyBorder="1" applyAlignment="1">
      <alignment horizontal="right"/>
    </xf>
    <xf numFmtId="167" fontId="27" fillId="0" borderId="25" xfId="0" applyNumberFormat="1" applyFont="1" applyBorder="1" applyAlignment="1">
      <alignment horizontal="center"/>
    </xf>
    <xf numFmtId="0" fontId="29" fillId="0" borderId="25" xfId="0" applyFont="1" applyBorder="1"/>
    <xf numFmtId="0" fontId="30" fillId="0" borderId="25" xfId="0" applyFont="1" applyBorder="1"/>
    <xf numFmtId="0" fontId="31" fillId="0" borderId="25" xfId="0" applyFont="1" applyBorder="1" applyAlignment="1">
      <alignment horizontal="center"/>
    </xf>
    <xf numFmtId="166" fontId="29" fillId="0" borderId="25" xfId="0" applyNumberFormat="1" applyFont="1" applyBorder="1" applyAlignment="1">
      <alignment horizontal="right"/>
    </xf>
    <xf numFmtId="166" fontId="29" fillId="0" borderId="25" xfId="0" applyNumberFormat="1" applyFont="1" applyBorder="1"/>
    <xf numFmtId="0" fontId="27" fillId="0" borderId="0" xfId="0" applyFont="1"/>
    <xf numFmtId="167" fontId="27" fillId="0" borderId="0" xfId="0" applyNumberFormat="1" applyFont="1" applyAlignment="1">
      <alignment horizontal="right" wrapText="1"/>
    </xf>
    <xf numFmtId="168" fontId="27" fillId="0" borderId="0" xfId="0" applyNumberFormat="1" applyFont="1" applyAlignment="1">
      <alignment horizontal="center"/>
    </xf>
    <xf numFmtId="166" fontId="27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right"/>
    </xf>
    <xf numFmtId="167" fontId="27" fillId="0" borderId="26" xfId="0" applyNumberFormat="1" applyFont="1" applyBorder="1" applyAlignment="1">
      <alignment horizontal="right"/>
    </xf>
    <xf numFmtId="166" fontId="27" fillId="0" borderId="0" xfId="0" applyNumberFormat="1" applyFont="1"/>
    <xf numFmtId="0" fontId="27" fillId="0" borderId="23" xfId="0" applyFont="1" applyBorder="1"/>
    <xf numFmtId="167" fontId="27" fillId="0" borderId="23" xfId="0" applyNumberFormat="1" applyFont="1" applyBorder="1" applyAlignment="1">
      <alignment horizontal="right"/>
    </xf>
    <xf numFmtId="168" fontId="27" fillId="0" borderId="23" xfId="0" applyNumberFormat="1" applyFont="1" applyBorder="1" applyAlignment="1">
      <alignment horizontal="center"/>
    </xf>
    <xf numFmtId="166" fontId="27" fillId="0" borderId="23" xfId="0" applyNumberFormat="1" applyFont="1" applyBorder="1" applyAlignment="1">
      <alignment horizontal="right"/>
    </xf>
    <xf numFmtId="0" fontId="27" fillId="0" borderId="25" xfId="0" applyFont="1" applyBorder="1"/>
    <xf numFmtId="167" fontId="27" fillId="0" borderId="25" xfId="0" applyNumberFormat="1" applyFont="1" applyBorder="1" applyAlignment="1">
      <alignment horizontal="right" wrapText="1"/>
    </xf>
    <xf numFmtId="0" fontId="28" fillId="0" borderId="25" xfId="0" applyFont="1" applyBorder="1" applyAlignment="1">
      <alignment horizontal="center"/>
    </xf>
    <xf numFmtId="0" fontId="28" fillId="0" borderId="25" xfId="0" applyFont="1" applyBorder="1" applyAlignment="1">
      <alignment horizontal="right"/>
    </xf>
    <xf numFmtId="167" fontId="27" fillId="0" borderId="25" xfId="0" applyNumberFormat="1" applyFont="1" applyBorder="1" applyAlignment="1">
      <alignment horizontal="right"/>
    </xf>
    <xf numFmtId="0" fontId="28" fillId="0" borderId="26" xfId="0" applyFont="1" applyBorder="1"/>
    <xf numFmtId="0" fontId="21" fillId="0" borderId="23" xfId="0" applyFont="1" applyBorder="1"/>
    <xf numFmtId="0" fontId="32" fillId="0" borderId="25" xfId="0" applyFont="1" applyBorder="1"/>
    <xf numFmtId="0" fontId="32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right"/>
    </xf>
    <xf numFmtId="169" fontId="32" fillId="0" borderId="25" xfId="0" applyNumberFormat="1" applyFont="1" applyBorder="1" applyAlignment="1">
      <alignment horizontal="center"/>
    </xf>
    <xf numFmtId="168" fontId="32" fillId="0" borderId="25" xfId="0" applyNumberFormat="1" applyFont="1" applyBorder="1" applyAlignment="1">
      <alignment horizontal="center" wrapText="1"/>
    </xf>
    <xf numFmtId="168" fontId="32" fillId="0" borderId="25" xfId="0" applyNumberFormat="1" applyFont="1" applyBorder="1" applyAlignment="1">
      <alignment horizontal="center"/>
    </xf>
    <xf numFmtId="0" fontId="21" fillId="0" borderId="26" xfId="0" applyFont="1" applyBorder="1"/>
    <xf numFmtId="0" fontId="21" fillId="0" borderId="24" xfId="0" applyFont="1" applyBorder="1"/>
    <xf numFmtId="0" fontId="18" fillId="5" borderId="9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vertical="center"/>
    </xf>
    <xf numFmtId="14" fontId="19" fillId="8" borderId="10" xfId="0" applyNumberFormat="1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14" fontId="19" fillId="6" borderId="10" xfId="0" applyNumberFormat="1" applyFont="1" applyFill="1" applyBorder="1" applyAlignment="1">
      <alignment vertical="center"/>
    </xf>
    <xf numFmtId="0" fontId="33" fillId="7" borderId="27" xfId="0" applyFont="1" applyFill="1" applyBorder="1" applyAlignment="1">
      <alignment vertical="center"/>
    </xf>
    <xf numFmtId="4" fontId="21" fillId="0" borderId="0" xfId="0" applyNumberFormat="1" applyFont="1"/>
    <xf numFmtId="49" fontId="21" fillId="0" borderId="0" xfId="0" applyNumberFormat="1" applyFont="1"/>
    <xf numFmtId="4" fontId="18" fillId="5" borderId="9" xfId="0" applyNumberFormat="1" applyFont="1" applyFill="1" applyBorder="1" applyAlignment="1">
      <alignment horizontal="center" vertical="center"/>
    </xf>
    <xf numFmtId="165" fontId="18" fillId="5" borderId="9" xfId="0" applyNumberFormat="1" applyFont="1" applyFill="1" applyBorder="1" applyAlignment="1">
      <alignment horizontal="center" vertical="center"/>
    </xf>
    <xf numFmtId="49" fontId="18" fillId="5" borderId="9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vertical="center"/>
    </xf>
    <xf numFmtId="4" fontId="19" fillId="8" borderId="10" xfId="0" applyNumberFormat="1" applyFont="1" applyFill="1" applyBorder="1" applyAlignment="1">
      <alignment vertical="center"/>
    </xf>
    <xf numFmtId="3" fontId="19" fillId="8" borderId="10" xfId="0" applyNumberFormat="1" applyFont="1" applyFill="1" applyBorder="1" applyAlignment="1">
      <alignment horizontal="right" vertical="center"/>
    </xf>
    <xf numFmtId="165" fontId="19" fillId="8" borderId="10" xfId="0" applyNumberFormat="1" applyFont="1" applyFill="1" applyBorder="1" applyAlignment="1">
      <alignment horizontal="right" vertical="center"/>
    </xf>
    <xf numFmtId="0" fontId="19" fillId="8" borderId="10" xfId="0" applyFont="1" applyFill="1" applyBorder="1" applyAlignment="1">
      <alignment horizontal="right" vertical="center"/>
    </xf>
    <xf numFmtId="49" fontId="19" fillId="8" borderId="10" xfId="0" applyNumberFormat="1" applyFont="1" applyFill="1" applyBorder="1" applyAlignment="1">
      <alignment vertical="center"/>
    </xf>
    <xf numFmtId="167" fontId="19" fillId="6" borderId="10" xfId="0" applyNumberFormat="1" applyFont="1" applyFill="1" applyBorder="1" applyAlignment="1">
      <alignment vertical="center"/>
    </xf>
    <xf numFmtId="4" fontId="19" fillId="6" borderId="10" xfId="0" applyNumberFormat="1" applyFont="1" applyFill="1" applyBorder="1" applyAlignment="1">
      <alignment vertical="center"/>
    </xf>
    <xf numFmtId="3" fontId="19" fillId="6" borderId="10" xfId="0" applyNumberFormat="1" applyFont="1" applyFill="1" applyBorder="1" applyAlignment="1">
      <alignment horizontal="right" vertical="center"/>
    </xf>
    <xf numFmtId="165" fontId="19" fillId="6" borderId="10" xfId="0" applyNumberFormat="1" applyFont="1" applyFill="1" applyBorder="1" applyAlignment="1">
      <alignment horizontal="right" vertical="center"/>
    </xf>
    <xf numFmtId="0" fontId="19" fillId="6" borderId="10" xfId="0" applyFont="1" applyFill="1" applyBorder="1" applyAlignment="1">
      <alignment horizontal="right" vertical="center"/>
    </xf>
    <xf numFmtId="49" fontId="19" fillId="6" borderId="10" xfId="0" applyNumberFormat="1" applyFont="1" applyFill="1" applyBorder="1" applyAlignment="1">
      <alignment vertical="center"/>
    </xf>
    <xf numFmtId="3" fontId="19" fillId="8" borderId="10" xfId="0" applyNumberFormat="1" applyFont="1" applyFill="1" applyBorder="1" applyAlignment="1">
      <alignment vertical="center"/>
    </xf>
    <xf numFmtId="165" fontId="19" fillId="8" borderId="10" xfId="0" applyNumberFormat="1" applyFont="1" applyFill="1" applyBorder="1" applyAlignment="1">
      <alignment vertical="center"/>
    </xf>
    <xf numFmtId="0" fontId="36" fillId="8" borderId="19" xfId="0" applyFont="1" applyFill="1" applyBorder="1" applyAlignment="1">
      <alignment vertical="center"/>
    </xf>
    <xf numFmtId="0" fontId="36" fillId="6" borderId="19" xfId="0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vertical="center"/>
    </xf>
    <xf numFmtId="0" fontId="37" fillId="8" borderId="19" xfId="0" applyFont="1" applyFill="1" applyBorder="1" applyAlignment="1">
      <alignment horizontal="center" vertical="center"/>
    </xf>
    <xf numFmtId="0" fontId="37" fillId="6" borderId="19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6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2" fillId="6" borderId="16" xfId="0" applyFont="1" applyFill="1" applyBorder="1" applyAlignment="1">
      <alignment horizontal="left" vertical="center"/>
    </xf>
    <xf numFmtId="0" fontId="2" fillId="0" borderId="17" xfId="0" applyFont="1" applyBorder="1"/>
    <xf numFmtId="0" fontId="12" fillId="8" borderId="16" xfId="0" applyFont="1" applyFill="1" applyBorder="1" applyAlignment="1">
      <alignment horizontal="left" vertical="center"/>
    </xf>
    <xf numFmtId="0" fontId="13" fillId="8" borderId="16" xfId="0" applyFont="1" applyFill="1" applyBorder="1" applyAlignment="1">
      <alignment horizontal="left" vertical="center"/>
    </xf>
    <xf numFmtId="0" fontId="2" fillId="0" borderId="18" xfId="0" applyFont="1" applyBorder="1"/>
    <xf numFmtId="0" fontId="17" fillId="10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4" fillId="0" borderId="0" xfId="0" applyFont="1" applyAlignment="1">
      <alignment vertical="top"/>
    </xf>
    <xf numFmtId="0" fontId="2" fillId="0" borderId="23" xfId="0" applyFont="1" applyBorder="1"/>
    <xf numFmtId="0" fontId="34" fillId="2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19" fillId="8" borderId="31" xfId="0" applyFont="1" applyFill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19" fillId="6" borderId="31" xfId="0" applyFont="1" applyFill="1" applyBorder="1" applyAlignment="1">
      <alignment vertical="center"/>
    </xf>
    <xf numFmtId="0" fontId="36" fillId="6" borderId="31" xfId="0" applyFont="1" applyFill="1" applyBorder="1" applyAlignment="1">
      <alignment horizontal="left" vertical="center"/>
    </xf>
    <xf numFmtId="0" fontId="36" fillId="8" borderId="3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customschemas.google.com/relationships/workbookmetadata" Target="metadata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333333"/>
                </a:solidFill>
                <a:latin typeface="Arial"/>
              </a:defRPr>
            </a:pPr>
            <a:r>
              <a:rPr lang="en-US" sz="1000" b="0" i="0">
                <a:solidFill>
                  <a:srgbClr val="333333"/>
                </a:solidFill>
                <a:latin typeface="Arial"/>
              </a:rPr>
              <a:t>Sapling Distribution by Species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Dashboard!$B$12:$B$15</c:f>
              <c:strCache>
                <c:ptCount val="4"/>
                <c:pt idx="0">
                  <c:v>Mango (Banana Mango)</c:v>
                </c:pt>
                <c:pt idx="1">
                  <c:v>Malta (Bari-1)</c:v>
                </c:pt>
                <c:pt idx="2">
                  <c:v>Guava (Thai-7)</c:v>
                </c:pt>
                <c:pt idx="3">
                  <c:v>Lemon (Seedless)</c:v>
                </c:pt>
              </c:strCache>
            </c:strRef>
          </c:cat>
          <c:val>
            <c:numRef>
              <c:f>Dashboard!$C$12:$C$15</c:f>
              <c:numCache>
                <c:formatCode>#,##0</c:formatCode>
                <c:ptCount val="4"/>
                <c:pt idx="0">
                  <c:v>1245</c:v>
                </c:pt>
                <c:pt idx="1">
                  <c:v>980</c:v>
                </c:pt>
                <c:pt idx="2">
                  <c:v>857</c:v>
                </c:pt>
                <c:pt idx="3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1-8F44-A49A-52D36CB8A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txPr>
        <a:bodyPr/>
        <a:lstStyle/>
        <a:p>
          <a:pPr lvl="0">
            <a:defRPr sz="7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333333"/>
                </a:solidFill>
                <a:latin typeface="Arial"/>
              </a:defRPr>
            </a:pPr>
            <a:r>
              <a:rPr lang="en-US" sz="1000" b="0" i="0">
                <a:solidFill>
                  <a:srgbClr val="333333"/>
                </a:solidFill>
                <a:latin typeface="Arial"/>
              </a:rPr>
              <a:t>Saplings by Upazila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Dashboard!$H$13</c:f>
              <c:strCache>
                <c:ptCount val="1"/>
                <c:pt idx="0">
                  <c:v>1,120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Dashboard!$F$14:$F$16</c:f>
              <c:strCache>
                <c:ptCount val="3"/>
                <c:pt idx="0">
                  <c:v>Bhurungamari</c:v>
                </c:pt>
                <c:pt idx="1">
                  <c:v>Chilmari</c:v>
                </c:pt>
                <c:pt idx="2">
                  <c:v>Nageshwari</c:v>
                </c:pt>
              </c:strCache>
            </c:strRef>
          </c:cat>
          <c:val>
            <c:numRef>
              <c:f>Dashboard!$H$14:$H$16</c:f>
              <c:numCache>
                <c:formatCode>#,##0</c:formatCode>
                <c:ptCount val="3"/>
                <c:pt idx="0">
                  <c:v>890</c:v>
                </c:pt>
                <c:pt idx="1">
                  <c:v>985</c:v>
                </c:pt>
                <c:pt idx="2">
                  <c:v>737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66-6344-9E5E-88701E9A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025823"/>
        <c:axId val="1490107685"/>
      </c:barChart>
      <c:catAx>
        <c:axId val="1652025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107685"/>
        <c:crosses val="autoZero"/>
        <c:auto val="1"/>
        <c:lblAlgn val="ctr"/>
        <c:lblOffset val="100"/>
        <c:noMultiLvlLbl val="1"/>
      </c:catAx>
      <c:valAx>
        <c:axId val="1490107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202582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5200650" cy="2876550"/>
    <xdr:graphicFrame macro="">
      <xdr:nvGraphicFramePr>
        <xdr:cNvPr id="1874186347" name="Chart 1">
          <a:extLst>
            <a:ext uri="{FF2B5EF4-FFF2-40B4-BE49-F238E27FC236}">
              <a16:creationId xmlns:a16="http://schemas.microsoft.com/office/drawing/2014/main" id="{00000000-0008-0000-0000-00006BD0B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428625</xdr:colOff>
      <xdr:row>28</xdr:row>
      <xdr:rowOff>0</xdr:rowOff>
    </xdr:from>
    <xdr:ext cx="5724525" cy="2876550"/>
    <xdr:graphicFrame macro="">
      <xdr:nvGraphicFramePr>
        <xdr:cNvPr id="1956688194" name="Chart 2">
          <a:extLst>
            <a:ext uri="{FF2B5EF4-FFF2-40B4-BE49-F238E27FC236}">
              <a16:creationId xmlns:a16="http://schemas.microsoft.com/office/drawing/2014/main" id="{00000000-0008-0000-0000-000042B1A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2.08203125" customWidth="1"/>
    <col min="2" max="9" width="15.69140625" customWidth="1"/>
    <col min="10" max="26" width="8.82421875" customWidth="1"/>
  </cols>
  <sheetData>
    <row r="1" spans="2:9" ht="6" customHeight="1" x14ac:dyDescent="0.15"/>
    <row r="2" spans="2:9" ht="25.5" customHeight="1" x14ac:dyDescent="0.15">
      <c r="B2" s="123" t="s">
        <v>0</v>
      </c>
      <c r="C2" s="124"/>
      <c r="D2" s="124"/>
      <c r="E2" s="124"/>
      <c r="F2" s="124"/>
      <c r="G2" s="124"/>
      <c r="H2" s="124"/>
      <c r="I2" s="124"/>
    </row>
    <row r="3" spans="2:9" ht="25.5" customHeight="1" x14ac:dyDescent="0.15">
      <c r="B3" s="125"/>
      <c r="C3" s="125"/>
      <c r="D3" s="125"/>
      <c r="E3" s="125"/>
      <c r="F3" s="125"/>
      <c r="G3" s="125"/>
      <c r="H3" s="125"/>
      <c r="I3" s="125"/>
    </row>
    <row r="4" spans="2:9" ht="18" customHeight="1" x14ac:dyDescent="0.15">
      <c r="B4" s="126" t="s">
        <v>1</v>
      </c>
      <c r="C4" s="127"/>
      <c r="D4" s="127"/>
      <c r="E4" s="127"/>
      <c r="F4" s="127"/>
      <c r="G4" s="127"/>
      <c r="H4" s="127"/>
      <c r="I4" s="128"/>
    </row>
    <row r="5" spans="2:9" ht="6" customHeight="1" x14ac:dyDescent="0.15"/>
    <row r="6" spans="2:9" ht="15" customHeight="1" x14ac:dyDescent="0.15">
      <c r="B6" s="129" t="s">
        <v>2</v>
      </c>
      <c r="C6" s="128"/>
      <c r="D6" s="130" t="s">
        <v>3</v>
      </c>
      <c r="E6" s="128"/>
      <c r="F6" s="131" t="s">
        <v>4</v>
      </c>
      <c r="G6" s="128"/>
      <c r="H6" s="132" t="s">
        <v>5</v>
      </c>
      <c r="I6" s="128"/>
    </row>
    <row r="7" spans="2:9" ht="22.5" customHeight="1" x14ac:dyDescent="0.15">
      <c r="B7" s="133" t="s">
        <v>6</v>
      </c>
      <c r="C7" s="119"/>
      <c r="D7" s="118">
        <v>295</v>
      </c>
      <c r="E7" s="119"/>
      <c r="F7" s="122">
        <v>36</v>
      </c>
      <c r="G7" s="119"/>
      <c r="H7" s="134">
        <v>14</v>
      </c>
      <c r="I7" s="119"/>
    </row>
    <row r="8" spans="2:9" ht="22.5" customHeight="1" x14ac:dyDescent="0.15">
      <c r="B8" s="120"/>
      <c r="C8" s="121"/>
      <c r="D8" s="120"/>
      <c r="E8" s="121"/>
      <c r="F8" s="120"/>
      <c r="G8" s="121"/>
      <c r="H8" s="120"/>
      <c r="I8" s="121"/>
    </row>
    <row r="9" spans="2:9" ht="6" customHeight="1" x14ac:dyDescent="0.15"/>
    <row r="10" spans="2:9" ht="19.5" customHeight="1" x14ac:dyDescent="0.15">
      <c r="B10" s="135" t="s">
        <v>7</v>
      </c>
      <c r="C10" s="127"/>
      <c r="D10" s="127"/>
      <c r="E10" s="127"/>
      <c r="F10" s="127"/>
      <c r="G10" s="127"/>
      <c r="H10" s="127"/>
      <c r="I10" s="128"/>
    </row>
    <row r="11" spans="2:9" ht="16.5" customHeight="1" x14ac:dyDescent="0.15">
      <c r="B11" s="1" t="s">
        <v>8</v>
      </c>
      <c r="C11" s="1" t="s">
        <v>9</v>
      </c>
      <c r="D11" s="1" t="s">
        <v>10</v>
      </c>
      <c r="F11" s="136" t="s">
        <v>11</v>
      </c>
      <c r="G11" s="127"/>
      <c r="H11" s="127"/>
      <c r="I11" s="128"/>
    </row>
    <row r="12" spans="2:9" ht="16.5" customHeight="1" x14ac:dyDescent="0.15">
      <c r="B12" s="2" t="s">
        <v>12</v>
      </c>
      <c r="C12" s="3">
        <v>1245</v>
      </c>
      <c r="D12" s="4">
        <f t="shared" ref="D12:D15" si="0">C12/$C$16</f>
        <v>0.33360128617363344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2:9" ht="15" customHeight="1" x14ac:dyDescent="0.15">
      <c r="B13" s="6" t="s">
        <v>17</v>
      </c>
      <c r="C13" s="7">
        <v>980</v>
      </c>
      <c r="D13" s="8">
        <f t="shared" si="0"/>
        <v>0.26259378349410506</v>
      </c>
      <c r="F13" s="9" t="s">
        <v>18</v>
      </c>
      <c r="G13" s="10">
        <v>10</v>
      </c>
      <c r="H13" s="11">
        <v>1120</v>
      </c>
      <c r="I13" s="10">
        <v>4</v>
      </c>
    </row>
    <row r="14" spans="2:9" ht="15" customHeight="1" x14ac:dyDescent="0.15">
      <c r="B14" s="2" t="s">
        <v>19</v>
      </c>
      <c r="C14" s="3">
        <v>857</v>
      </c>
      <c r="D14" s="4">
        <f t="shared" si="0"/>
        <v>0.22963558413719184</v>
      </c>
      <c r="F14" s="12" t="s">
        <v>20</v>
      </c>
      <c r="G14" s="13">
        <v>8</v>
      </c>
      <c r="H14" s="14">
        <v>890</v>
      </c>
      <c r="I14" s="13">
        <v>3</v>
      </c>
    </row>
    <row r="15" spans="2:9" ht="15" customHeight="1" x14ac:dyDescent="0.15">
      <c r="B15" s="6" t="s">
        <v>21</v>
      </c>
      <c r="C15" s="7">
        <v>650</v>
      </c>
      <c r="D15" s="8">
        <f t="shared" si="0"/>
        <v>0.17416934619506966</v>
      </c>
      <c r="F15" s="9" t="s">
        <v>22</v>
      </c>
      <c r="G15" s="10">
        <v>9</v>
      </c>
      <c r="H15" s="11">
        <v>985</v>
      </c>
      <c r="I15" s="10">
        <v>4</v>
      </c>
    </row>
    <row r="16" spans="2:9" ht="15" customHeight="1" x14ac:dyDescent="0.15">
      <c r="B16" s="15" t="s">
        <v>23</v>
      </c>
      <c r="C16" s="16">
        <f t="shared" ref="C16:D16" si="1">SUM(C12:C15)</f>
        <v>3732</v>
      </c>
      <c r="D16" s="17">
        <f t="shared" si="1"/>
        <v>1</v>
      </c>
      <c r="F16" s="12" t="s">
        <v>24</v>
      </c>
      <c r="G16" s="13">
        <v>9</v>
      </c>
      <c r="H16" s="14">
        <v>737</v>
      </c>
      <c r="I16" s="13">
        <v>3</v>
      </c>
    </row>
    <row r="17" spans="2:9" ht="6" customHeight="1" x14ac:dyDescent="0.15"/>
    <row r="18" spans="2:9" ht="19.5" customHeight="1" x14ac:dyDescent="0.15">
      <c r="B18" s="135" t="s">
        <v>25</v>
      </c>
      <c r="C18" s="127"/>
      <c r="D18" s="127"/>
      <c r="E18" s="127"/>
      <c r="F18" s="127"/>
      <c r="G18" s="127"/>
      <c r="H18" s="127"/>
      <c r="I18" s="128"/>
    </row>
    <row r="19" spans="2:9" ht="22.5" customHeight="1" x14ac:dyDescent="0.15">
      <c r="B19" s="137" t="s">
        <v>26</v>
      </c>
      <c r="C19" s="138"/>
      <c r="D19" s="137" t="s">
        <v>27</v>
      </c>
      <c r="E19" s="138"/>
      <c r="F19" s="137" t="s">
        <v>28</v>
      </c>
      <c r="G19" s="138"/>
      <c r="H19" s="137" t="s">
        <v>29</v>
      </c>
      <c r="I19" s="138"/>
    </row>
    <row r="20" spans="2:9" ht="22.5" customHeight="1" x14ac:dyDescent="0.15">
      <c r="B20" s="139"/>
      <c r="C20" s="140"/>
      <c r="D20" s="139"/>
      <c r="E20" s="140"/>
      <c r="F20" s="139"/>
      <c r="G20" s="140"/>
      <c r="H20" s="139"/>
      <c r="I20" s="140"/>
    </row>
    <row r="21" spans="2:9" ht="6" customHeight="1" x14ac:dyDescent="0.15"/>
    <row r="22" spans="2:9" ht="18" customHeight="1" x14ac:dyDescent="0.15">
      <c r="B22" s="147" t="s">
        <v>30</v>
      </c>
      <c r="C22" s="127"/>
      <c r="D22" s="127"/>
      <c r="E22" s="127"/>
      <c r="F22" s="127"/>
      <c r="G22" s="127"/>
      <c r="H22" s="127"/>
      <c r="I22" s="128"/>
    </row>
    <row r="23" spans="2:9" ht="15" customHeight="1" x14ac:dyDescent="0.15">
      <c r="B23" s="141" t="s">
        <v>31</v>
      </c>
      <c r="C23" s="142"/>
      <c r="D23" s="148" t="s">
        <v>32</v>
      </c>
      <c r="E23" s="145"/>
      <c r="F23" s="145"/>
      <c r="G23" s="145"/>
      <c r="H23" s="145"/>
      <c r="I23" s="142"/>
    </row>
    <row r="24" spans="2:9" ht="15" customHeight="1" x14ac:dyDescent="0.15">
      <c r="B24" s="143" t="s">
        <v>33</v>
      </c>
      <c r="C24" s="142"/>
      <c r="D24" s="144" t="s">
        <v>34</v>
      </c>
      <c r="E24" s="145"/>
      <c r="F24" s="145"/>
      <c r="G24" s="145"/>
      <c r="H24" s="145"/>
      <c r="I24" s="142"/>
    </row>
    <row r="25" spans="2:9" ht="15" customHeight="1" x14ac:dyDescent="0.15">
      <c r="B25" s="141" t="s">
        <v>35</v>
      </c>
      <c r="C25" s="142"/>
      <c r="D25" s="148" t="s">
        <v>36</v>
      </c>
      <c r="E25" s="145"/>
      <c r="F25" s="145"/>
      <c r="G25" s="145"/>
      <c r="H25" s="145"/>
      <c r="I25" s="142"/>
    </row>
    <row r="26" spans="2:9" ht="15" customHeight="1" x14ac:dyDescent="0.15">
      <c r="B26" s="143" t="s">
        <v>37</v>
      </c>
      <c r="C26" s="142"/>
      <c r="D26" s="144" t="s">
        <v>38</v>
      </c>
      <c r="E26" s="145"/>
      <c r="F26" s="145"/>
      <c r="G26" s="145"/>
      <c r="H26" s="145"/>
      <c r="I26" s="142"/>
    </row>
    <row r="27" spans="2:9" ht="6" customHeight="1" x14ac:dyDescent="0.15"/>
    <row r="28" spans="2:9" ht="15" customHeight="1" x14ac:dyDescent="0.15">
      <c r="B28" s="146" t="s">
        <v>39</v>
      </c>
      <c r="C28" s="127"/>
      <c r="D28" s="127"/>
      <c r="E28" s="127"/>
      <c r="F28" s="127"/>
      <c r="G28" s="127"/>
      <c r="H28" s="127"/>
      <c r="I28" s="128"/>
    </row>
    <row r="29" spans="2:9" ht="15.75" customHeight="1" x14ac:dyDescent="0.15"/>
    <row r="30" spans="2:9" ht="15.75" customHeight="1" x14ac:dyDescent="0.15"/>
    <row r="31" spans="2:9" ht="15.75" customHeight="1" x14ac:dyDescent="0.15"/>
    <row r="32" spans="2: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B25:C25"/>
    <mergeCell ref="B26:C26"/>
    <mergeCell ref="D26:I26"/>
    <mergeCell ref="B28:I28"/>
    <mergeCell ref="H19:I20"/>
    <mergeCell ref="B22:I22"/>
    <mergeCell ref="B23:C23"/>
    <mergeCell ref="D23:I23"/>
    <mergeCell ref="B24:C24"/>
    <mergeCell ref="D24:I24"/>
    <mergeCell ref="D25:I25"/>
    <mergeCell ref="B10:I10"/>
    <mergeCell ref="F11:I11"/>
    <mergeCell ref="B18:I18"/>
    <mergeCell ref="B19:C20"/>
    <mergeCell ref="D19:E20"/>
    <mergeCell ref="F19:G20"/>
    <mergeCell ref="D7:E8"/>
    <mergeCell ref="F7:G8"/>
    <mergeCell ref="B2:I3"/>
    <mergeCell ref="B4:I4"/>
    <mergeCell ref="B6:C6"/>
    <mergeCell ref="D6:E6"/>
    <mergeCell ref="F6:G6"/>
    <mergeCell ref="H6:I6"/>
    <mergeCell ref="B7:C8"/>
    <mergeCell ref="H7:I8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998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x14ac:dyDescent="0.15"/>
  <cols>
    <col min="1" max="1" width="19.98046875" customWidth="1"/>
    <col min="2" max="5" width="15.69140625" customWidth="1"/>
    <col min="6" max="9" width="19.98046875" customWidth="1"/>
    <col min="10" max="40" width="15.69140625" customWidth="1"/>
  </cols>
  <sheetData>
    <row r="1" spans="1:40" ht="27" customHeight="1" x14ac:dyDescent="0.15">
      <c r="A1" s="18" t="str">
        <f ca="1">IFERROR(__xludf.DUMMYFUNCTION("IMPORTDATA(""https://docs.google.com/spreadsheets/d/e/2PACX-1vTeL9-zfM46G7Ix0cKgSEUNgM99hlFunr7ze4jF9vYvHB0CjyzOg7Jb_hPj23fLNSJinx0NonAUDjMB/pub?output=csv"")"),"জমার সময়")</f>
        <v>জমার সময়</v>
      </c>
      <c r="B1" s="18" t="str">
        <f ca="1">IFERROR(__xludf.DUMMYFUNCTION("""COMPUTED_VALUE"""),"অ্যাপ জমা আইডি")</f>
        <v>অ্যাপ জমা আইডি</v>
      </c>
      <c r="C1" s="18" t="str">
        <f ca="1">IFERROR(__xludf.DUMMYFUNCTION("""COMPUTED_VALUE"""),"বিভাগ")</f>
        <v>বিভাগ</v>
      </c>
      <c r="D1" s="18" t="str">
        <f ca="1">IFERROR(__xludf.DUMMYFUNCTION("""COMPUTED_VALUE"""),"অঞ্চল")</f>
        <v>অঞ্চল</v>
      </c>
      <c r="E1" s="18" t="str">
        <f ca="1">IFERROR(__xludf.DUMMYFUNCTION("""COMPUTED_VALUE"""),"জেলা")</f>
        <v>জেলা</v>
      </c>
      <c r="F1" s="18" t="str">
        <f ca="1">IFERROR(__xludf.DUMMYFUNCTION("""COMPUTED_VALUE"""),"উপজেলা")</f>
        <v>উপজেলা</v>
      </c>
      <c r="G1" s="18" t="str">
        <f ca="1">IFERROR(__xludf.DUMMYFUNCTION("""COMPUTED_VALUE"""),"ইউনিয়ন")</f>
        <v>ইউনিয়ন</v>
      </c>
      <c r="H1" s="18" t="str">
        <f ca="1">IFERROR(__xludf.DUMMYFUNCTION("""COMPUTED_VALUE"""),"গ্রাম")</f>
        <v>গ্রাম</v>
      </c>
      <c r="I1" s="18" t="str">
        <f ca="1">IFERROR(__xludf.DUMMYFUNCTION("""COMPUTED_VALUE"""),"অবস্থানের ধরন")</f>
        <v>অবস্থানের ধরন</v>
      </c>
      <c r="J1" s="18" t="str">
        <f ca="1">IFERROR(__xludf.DUMMYFUNCTION("""COMPUTED_VALUE"""),"চারার উৎস")</f>
        <v>চারার উৎস</v>
      </c>
      <c r="K1" s="18" t="str">
        <f ca="1">IFERROR(__xludf.DUMMYFUNCTION("""COMPUTED_VALUE"""),"সুনির্দিষ্ট ঠিকানা")</f>
        <v>সুনির্দিষ্ট ঠিকানা</v>
      </c>
      <c r="L1" s="18" t="str">
        <f ca="1">IFERROR(__xludf.DUMMYFUNCTION("""COMPUTED_VALUE"""),"অক্ষাংশ")</f>
        <v>অক্ষাংশ</v>
      </c>
      <c r="M1" s="18" t="str">
        <f ca="1">IFERROR(__xludf.DUMMYFUNCTION("""COMPUTED_VALUE"""),"দ্রাঘিমাংশ")</f>
        <v>দ্রাঘিমাংশ</v>
      </c>
      <c r="N1" s="18" t="str">
        <f ca="1">IFERROR(__xludf.DUMMYFUNCTION("""COMPUTED_VALUE"""),"রোপণের তারিখ")</f>
        <v>রোপণের তারিখ</v>
      </c>
      <c r="O1" s="18" t="str">
        <f ca="1">IFERROR(__xludf.DUMMYFUNCTION("""COMPUTED_VALUE"""),"বৃক্ষের প্রজাতি/জাত")</f>
        <v>বৃক্ষের প্রজাতি/জাত</v>
      </c>
      <c r="P1" s="18" t="str">
        <f ca="1">IFERROR(__xludf.DUMMYFUNCTION("""COMPUTED_VALUE"""),"বৃক্ষের শ্রেণী")</f>
        <v>বৃক্ষের শ্রেণী</v>
      </c>
      <c r="Q1" s="18" t="str">
        <f ca="1">IFERROR(__xludf.DUMMYFUNCTION("""COMPUTED_VALUE"""),"সংখ্যা")</f>
        <v>সংখ্যা</v>
      </c>
      <c r="R1" s="18" t="str">
        <f ca="1">IFERROR(__xludf.DUMMYFUNCTION("""COMPUTED_VALUE"""),"প্রাথমিক NDVI")</f>
        <v>প্রাথমিক NDVI</v>
      </c>
      <c r="S1" s="18" t="str">
        <f ca="1">IFERROR(__xludf.DUMMYFUNCTION("""COMPUTED_VALUE"""),"ছবি (ইনলাইন)")</f>
        <v>ছবি (ইনলাইন)</v>
      </c>
      <c r="T1" s="18" t="str">
        <f ca="1">IFERROR(__xludf.DUMMYFUNCTION("""COMPUTED_VALUE"""),"ছবি SHA-256")</f>
        <v>ছবি SHA-256</v>
      </c>
      <c r="U1" s="18" t="str">
        <f ca="1">IFERROR(__xludf.DUMMYFUNCTION("""COMPUTED_VALUE"""),"কৃষকের নাম")</f>
        <v>কৃষকের নাম</v>
      </c>
      <c r="V1" s="18" t="str">
        <f ca="1">IFERROR(__xludf.DUMMYFUNCTION("""COMPUTED_VALUE"""),"কৃষকের মোবাইল")</f>
        <v>কৃষকের মোবাইল</v>
      </c>
      <c r="W1" s="18" t="str">
        <f ca="1">IFERROR(__xludf.DUMMYFUNCTION("""COMPUTED_VALUE"""),"SAAO-এর নাম")</f>
        <v>SAAO-এর নাম</v>
      </c>
      <c r="X1" s="18" t="str">
        <f ca="1">IFERROR(__xludf.DUMMYFUNCTION("""COMPUTED_VALUE"""),"SAAO-এর মোবাইল")</f>
        <v>SAAO-এর মোবাইল</v>
      </c>
      <c r="Y1" s="18" t="str">
        <f ca="1">IFERROR(__xludf.DUMMYFUNCTION("""COMPUTED_VALUE"""),"মনিটরিং অফিসারের নাম")</f>
        <v>মনিটরিং অফিসারের নাম</v>
      </c>
      <c r="Z1" s="18" t="str">
        <f ca="1">IFERROR(__xludf.DUMMYFUNCTION("""COMPUTED_VALUE"""),"মনিটরিং অফিসারের মোবাইল")</f>
        <v>মনিটরিং অফিসারের মোবাইল</v>
      </c>
      <c r="AA1" s="18" t="str">
        <f ca="1">IFERROR(__xludf.DUMMYFUNCTION("""COMPUTED_VALUE"""),"মন্তব্য")</f>
        <v>মন্তব্য</v>
      </c>
      <c r="AB1" s="18" t="str">
        <f ca="1">IFERROR(__xludf.DUMMYFUNCTION("""COMPUTED_VALUE"""),"সত্যায়ন হ্যাশ")</f>
        <v>সত্যায়ন হ্যাশ</v>
      </c>
      <c r="AC1" s="18" t="str">
        <f ca="1">IFERROR(__xludf.DUMMYFUNCTION("""COMPUTED_VALUE"""),"সিঙ্কের সময়")</f>
        <v>সিঙ্কের সময়</v>
      </c>
      <c r="AD1" s="19" t="str">
        <f ca="1">IFERROR(__xludf.DUMMYFUNCTION("""COMPUTED_VALUE"""),"ব্লক")</f>
        <v>ব্লক</v>
      </c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ht="15" customHeight="1" x14ac:dyDescent="0.15">
      <c r="A2" s="20">
        <f ca="1">IFERROR(__xludf.DUMMYFUNCTION("""COMPUTED_VALUE"""),46211.9139467592)</f>
        <v>46211.913946759203</v>
      </c>
      <c r="B2" s="21" t="str">
        <f ca="1">IFERROR(__xludf.DUMMYFUNCTION("""COMPUTED_VALUE"""),"mrd3fmrjqe6os1")</f>
        <v>mrd3fmrjqe6os1</v>
      </c>
      <c r="C2" s="21" t="str">
        <f ca="1">IFERROR(__xludf.DUMMYFUNCTION("""COMPUTED_VALUE"""),"রংপুর")</f>
        <v>রংপুর</v>
      </c>
      <c r="D2" s="21" t="str">
        <f ca="1">IFERROR(__xludf.DUMMYFUNCTION("""COMPUTED_VALUE"""),"রংপুর")</f>
        <v>রংপুর</v>
      </c>
      <c r="E2" s="21" t="str">
        <f ca="1">IFERROR(__xludf.DUMMYFUNCTION("""COMPUTED_VALUE"""),"কুড়িগ্রাম")</f>
        <v>কুড়িগ্রাম</v>
      </c>
      <c r="F2" s="21" t="str">
        <f ca="1">IFERROR(__xludf.DUMMYFUNCTION("""COMPUTED_VALUE"""),"সদর")</f>
        <v>সদর</v>
      </c>
      <c r="G2" s="21"/>
      <c r="H2" s="21"/>
      <c r="I2" s="21"/>
      <c r="J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" s="21"/>
      <c r="L2" s="21">
        <f ca="1">IFERROR(__xludf.DUMMYFUNCTION("""COMPUTED_VALUE"""),25.755591)</f>
        <v>25.755590999999999</v>
      </c>
      <c r="M2" s="21">
        <f ca="1">IFERROR(__xludf.DUMMYFUNCTION("""COMPUTED_VALUE"""),89.657639)</f>
        <v>89.657639000000003</v>
      </c>
      <c r="N2" s="22">
        <f ca="1">IFERROR(__xludf.DUMMYFUNCTION("""COMPUTED_VALUE"""),46152)</f>
        <v>46152</v>
      </c>
      <c r="O2" s="21" t="str">
        <f ca="1">IFERROR(__xludf.DUMMYFUNCTION("""COMPUTED_VALUE"""),"পেয়ারা থাই-৭")</f>
        <v>পেয়ারা থাই-৭</v>
      </c>
      <c r="P2" s="21" t="str">
        <f ca="1">IFERROR(__xludf.DUMMYFUNCTION("""COMPUTED_VALUE"""),"ফলদ")</f>
        <v>ফলদ</v>
      </c>
      <c r="Q2" s="21">
        <f ca="1">IFERROR(__xludf.DUMMYFUNCTION("""COMPUTED_VALUE"""),85)</f>
        <v>85</v>
      </c>
      <c r="R2" s="21"/>
      <c r="S2" s="21"/>
      <c r="T2" s="21"/>
      <c r="U2" s="21" t="str">
        <f ca="1">IFERROR(__xludf.DUMMYFUNCTION("""COMPUTED_VALUE"""),"মোঃ রেজওয়ান সরকার")</f>
        <v>মোঃ রেজওয়ান সরকার</v>
      </c>
      <c r="V2" s="21">
        <f ca="1">IFERROR(__xludf.DUMMYFUNCTION("""COMPUTED_VALUE"""),1750674891)</f>
        <v>1750674891</v>
      </c>
      <c r="W2" s="21" t="str">
        <f ca="1">IFERROR(__xludf.DUMMYFUNCTION("""COMPUTED_VALUE"""),"ভবেশ চন্দ্র মোদক")</f>
        <v>ভবেশ চন্দ্র মোদক</v>
      </c>
      <c r="X2" s="21">
        <f ca="1">IFERROR(__xludf.DUMMYFUNCTION("""COMPUTED_VALUE"""),1724511968)</f>
        <v>1724511968</v>
      </c>
      <c r="Y2" s="21"/>
      <c r="Z2" s="21"/>
      <c r="AA2" s="21"/>
      <c r="AB2" s="21"/>
      <c r="AC2" s="21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15" customHeight="1" x14ac:dyDescent="0.15">
      <c r="A3" s="24">
        <f ca="1">IFERROR(__xludf.DUMMYFUNCTION("""COMPUTED_VALUE"""),46212.9139583333)</f>
        <v>46212.913958333302</v>
      </c>
      <c r="B3" s="25" t="str">
        <f ca="1">IFERROR(__xludf.DUMMYFUNCTION("""COMPUTED_VALUE"""),"mrd3fmrjqe6os2")</f>
        <v>mrd3fmrjqe6os2</v>
      </c>
      <c r="C3" s="25" t="str">
        <f ca="1">IFERROR(__xludf.DUMMYFUNCTION("""COMPUTED_VALUE"""),"রংপুর")</f>
        <v>রংপুর</v>
      </c>
      <c r="D3" s="25" t="str">
        <f ca="1">IFERROR(__xludf.DUMMYFUNCTION("""COMPUTED_VALUE"""),"রংপুর")</f>
        <v>রংপুর</v>
      </c>
      <c r="E3" s="25" t="str">
        <f ca="1">IFERROR(__xludf.DUMMYFUNCTION("""COMPUTED_VALUE"""),"কুড়িগ্রাম")</f>
        <v>কুড়িগ্রাম</v>
      </c>
      <c r="F3" s="25" t="str">
        <f ca="1">IFERROR(__xludf.DUMMYFUNCTION("""COMPUTED_VALUE"""),"সদর")</f>
        <v>সদর</v>
      </c>
      <c r="G3" s="25"/>
      <c r="H3" s="25"/>
      <c r="I3" s="25"/>
      <c r="J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" s="25"/>
      <c r="L3" s="25">
        <f ca="1">IFERROR(__xludf.DUMMYFUNCTION("""COMPUTED_VALUE"""),25.826721)</f>
        <v>25.826720999999999</v>
      </c>
      <c r="M3" s="25">
        <f ca="1">IFERROR(__xludf.DUMMYFUNCTION("""COMPUTED_VALUE"""),89.603292)</f>
        <v>89.603291999999996</v>
      </c>
      <c r="N3" s="26">
        <f ca="1">IFERROR(__xludf.DUMMYFUNCTION("""COMPUTED_VALUE"""),46177)</f>
        <v>46177</v>
      </c>
      <c r="O3" s="25" t="str">
        <f ca="1">IFERROR(__xludf.DUMMYFUNCTION("""COMPUTED_VALUE"""),"মাল্টা বারি-১")</f>
        <v>মাল্টা বারি-১</v>
      </c>
      <c r="P3" s="25" t="str">
        <f ca="1">IFERROR(__xludf.DUMMYFUNCTION("""COMPUTED_VALUE"""),"ফলদ")</f>
        <v>ফলদ</v>
      </c>
      <c r="Q3" s="25">
        <f ca="1">IFERROR(__xludf.DUMMYFUNCTION("""COMPUTED_VALUE"""),60)</f>
        <v>60</v>
      </c>
      <c r="R3" s="25"/>
      <c r="S3" s="25"/>
      <c r="T3" s="25"/>
      <c r="U3" s="25" t="str">
        <f ca="1">IFERROR(__xludf.DUMMYFUNCTION("""COMPUTED_VALUE"""),"মোঃ আতিকুর রহমান")</f>
        <v>মোঃ আতিকুর রহমান</v>
      </c>
      <c r="V3" s="25">
        <f ca="1">IFERROR(__xludf.DUMMYFUNCTION("""COMPUTED_VALUE"""),1727620179)</f>
        <v>1727620179</v>
      </c>
      <c r="W3" s="25" t="str">
        <f ca="1">IFERROR(__xludf.DUMMYFUNCTION("""COMPUTED_VALUE"""),"নারায়ন চন্দ্র সরকার")</f>
        <v>নারায়ন চন্দ্র সরকার</v>
      </c>
      <c r="X3" s="25">
        <f ca="1">IFERROR(__xludf.DUMMYFUNCTION("""COMPUTED_VALUE"""),1724511346)</f>
        <v>1724511346</v>
      </c>
      <c r="Y3" s="25"/>
      <c r="Z3" s="25"/>
      <c r="AA3" s="25"/>
      <c r="AB3" s="25"/>
      <c r="AC3" s="25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ht="15" customHeight="1" x14ac:dyDescent="0.15">
      <c r="A4" s="20">
        <f ca="1">IFERROR(__xludf.DUMMYFUNCTION("""COMPUTED_VALUE"""),46211.9139699074)</f>
        <v>46211.9139699074</v>
      </c>
      <c r="B4" s="21" t="str">
        <f ca="1">IFERROR(__xludf.DUMMYFUNCTION("""COMPUTED_VALUE"""),"mrd3fmrjqe6os3")</f>
        <v>mrd3fmrjqe6os3</v>
      </c>
      <c r="C4" s="21" t="str">
        <f ca="1">IFERROR(__xludf.DUMMYFUNCTION("""COMPUTED_VALUE"""),"রংপুর")</f>
        <v>রংপুর</v>
      </c>
      <c r="D4" s="21" t="str">
        <f ca="1">IFERROR(__xludf.DUMMYFUNCTION("""COMPUTED_VALUE"""),"রংপুর")</f>
        <v>রংপুর</v>
      </c>
      <c r="E4" s="21" t="str">
        <f ca="1">IFERROR(__xludf.DUMMYFUNCTION("""COMPUTED_VALUE"""),"কুড়িগ্রাম")</f>
        <v>কুড়িগ্রাম</v>
      </c>
      <c r="F4" s="21" t="str">
        <f ca="1">IFERROR(__xludf.DUMMYFUNCTION("""COMPUTED_VALUE"""),"সদর")</f>
        <v>সদর</v>
      </c>
      <c r="G4" s="21"/>
      <c r="H4" s="21"/>
      <c r="I4" s="21"/>
      <c r="J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4" s="21"/>
      <c r="L4" s="21">
        <f ca="1">IFERROR(__xludf.DUMMYFUNCTION("""COMPUTED_VALUE"""),25.830043)</f>
        <v>25.830043</v>
      </c>
      <c r="M4" s="21">
        <f ca="1">IFERROR(__xludf.DUMMYFUNCTION("""COMPUTED_VALUE"""),89.6245)</f>
        <v>89.624499999999998</v>
      </c>
      <c r="N4" s="22">
        <f ca="1">IFERROR(__xludf.DUMMYFUNCTION("""COMPUTED_VALUE"""),46175)</f>
        <v>46175</v>
      </c>
      <c r="O4" s="21" t="str">
        <f ca="1">IFERROR(__xludf.DUMMYFUNCTION("""COMPUTED_VALUE"""),"লেবু সিডরেস")</f>
        <v>লেবু সিডরেস</v>
      </c>
      <c r="P4" s="21" t="str">
        <f ca="1">IFERROR(__xludf.DUMMYFUNCTION("""COMPUTED_VALUE"""),"ফলদ")</f>
        <v>ফলদ</v>
      </c>
      <c r="Q4" s="21">
        <f ca="1">IFERROR(__xludf.DUMMYFUNCTION("""COMPUTED_VALUE"""),220)</f>
        <v>220</v>
      </c>
      <c r="R4" s="21"/>
      <c r="S4" s="21"/>
      <c r="T4" s="21"/>
      <c r="U4" s="21" t="str">
        <f ca="1">IFERROR(__xludf.DUMMYFUNCTION("""COMPUTED_VALUE"""),"মোঃ আমিনুর ইসলাম")</f>
        <v>মোঃ আমিনুর ইসলাম</v>
      </c>
      <c r="V4" s="21">
        <f ca="1">IFERROR(__xludf.DUMMYFUNCTION("""COMPUTED_VALUE"""),1723360770)</f>
        <v>1723360770</v>
      </c>
      <c r="W4" s="21" t="str">
        <f ca="1">IFERROR(__xludf.DUMMYFUNCTION("""COMPUTED_VALUE"""),"এস এম تরিকুল ইসলাম")</f>
        <v>এস এম تরিকুল ইসলাম</v>
      </c>
      <c r="X4" s="21">
        <f ca="1">IFERROR(__xludf.DUMMYFUNCTION("""COMPUTED_VALUE"""),1716026306)</f>
        <v>1716026306</v>
      </c>
      <c r="Y4" s="21"/>
      <c r="Z4" s="21"/>
      <c r="AA4" s="21"/>
      <c r="AB4" s="21"/>
      <c r="AC4" s="21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15" customHeight="1" x14ac:dyDescent="0.15">
      <c r="A5" s="24">
        <f ca="1">IFERROR(__xludf.DUMMYFUNCTION("""COMPUTED_VALUE"""),46211.9139467592)</f>
        <v>46211.913946759203</v>
      </c>
      <c r="B5" s="25" t="str">
        <f ca="1">IFERROR(__xludf.DUMMYFUNCTION("""COMPUTED_VALUE"""),"mrd3fmrjqe6os4")</f>
        <v>mrd3fmrjqe6os4</v>
      </c>
      <c r="C5" s="25" t="str">
        <f ca="1">IFERROR(__xludf.DUMMYFUNCTION("""COMPUTED_VALUE"""),"রংপুর")</f>
        <v>রংপুর</v>
      </c>
      <c r="D5" s="25" t="str">
        <f ca="1">IFERROR(__xludf.DUMMYFUNCTION("""COMPUTED_VALUE"""),"রংপুর")</f>
        <v>রংপুর</v>
      </c>
      <c r="E5" s="25" t="str">
        <f ca="1">IFERROR(__xludf.DUMMYFUNCTION("""COMPUTED_VALUE"""),"কুড়িগ্রাম")</f>
        <v>কুড়িগ্রাম</v>
      </c>
      <c r="F5" s="25" t="str">
        <f ca="1">IFERROR(__xludf.DUMMYFUNCTION("""COMPUTED_VALUE"""),"সদর")</f>
        <v>সদর</v>
      </c>
      <c r="G5" s="25"/>
      <c r="H5" s="25"/>
      <c r="I5" s="25"/>
      <c r="J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5" s="25"/>
      <c r="L5" s="25">
        <f ca="1">IFERROR(__xludf.DUMMYFUNCTION("""COMPUTED_VALUE"""),25.79392)</f>
        <v>25.79392</v>
      </c>
      <c r="M5" s="25">
        <f ca="1">IFERROR(__xludf.DUMMYFUNCTION("""COMPUTED_VALUE"""),89.62017)</f>
        <v>89.620170000000002</v>
      </c>
      <c r="N5" s="26">
        <f ca="1">IFERROR(__xludf.DUMMYFUNCTION("""COMPUTED_VALUE"""),46175)</f>
        <v>46175</v>
      </c>
      <c r="O5" s="25" t="str">
        <f ca="1">IFERROR(__xludf.DUMMYFUNCTION("""COMPUTED_VALUE"""),"আম-ব্যানানা")</f>
        <v>আম-ব্যানানা</v>
      </c>
      <c r="P5" s="25" t="str">
        <f ca="1">IFERROR(__xludf.DUMMYFUNCTION("""COMPUTED_VALUE"""),"ফলদ")</f>
        <v>ফলদ</v>
      </c>
      <c r="Q5" s="25">
        <f ca="1">IFERROR(__xludf.DUMMYFUNCTION("""COMPUTED_VALUE"""),33)</f>
        <v>33</v>
      </c>
      <c r="R5" s="25"/>
      <c r="S5" s="25"/>
      <c r="T5" s="25"/>
      <c r="U5" s="25" t="str">
        <f ca="1">IFERROR(__xludf.DUMMYFUNCTION("""COMPUTED_VALUE"""),"জয়ন্তী রাণী")</f>
        <v>জয়ন্তী রাণী</v>
      </c>
      <c r="V5" s="25">
        <f ca="1">IFERROR(__xludf.DUMMYFUNCTION("""COMPUTED_VALUE"""),1791966821)</f>
        <v>1791966821</v>
      </c>
      <c r="W5" s="25" t="str">
        <f ca="1">IFERROR(__xludf.DUMMYFUNCTION("""COMPUTED_VALUE"""),"মোঃ নুর আলম")</f>
        <v>মোঃ নুর আলম</v>
      </c>
      <c r="X5" s="25">
        <f ca="1">IFERROR(__xludf.DUMMYFUNCTION("""COMPUTED_VALUE"""),1729451848)</f>
        <v>1729451848</v>
      </c>
      <c r="Y5" s="25"/>
      <c r="Z5" s="25"/>
      <c r="AA5" s="25"/>
      <c r="AB5" s="25"/>
      <c r="AC5" s="25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ht="15" customHeight="1" x14ac:dyDescent="0.15">
      <c r="A6" s="20">
        <f ca="1">IFERROR(__xludf.DUMMYFUNCTION("""COMPUTED_VALUE"""),46212.9139583333)</f>
        <v>46212.913958333302</v>
      </c>
      <c r="B6" s="21" t="str">
        <f ca="1">IFERROR(__xludf.DUMMYFUNCTION("""COMPUTED_VALUE"""),"mrd3fmrjqe6os5")</f>
        <v>mrd3fmrjqe6os5</v>
      </c>
      <c r="C6" s="21" t="str">
        <f ca="1">IFERROR(__xludf.DUMMYFUNCTION("""COMPUTED_VALUE"""),"রংপুর")</f>
        <v>রংপুর</v>
      </c>
      <c r="D6" s="21" t="str">
        <f ca="1">IFERROR(__xludf.DUMMYFUNCTION("""COMPUTED_VALUE"""),"রংপুর")</f>
        <v>রংপুর</v>
      </c>
      <c r="E6" s="21" t="str">
        <f ca="1">IFERROR(__xludf.DUMMYFUNCTION("""COMPUTED_VALUE"""),"কুড়িগ্রাম")</f>
        <v>কুড়িগ্রাম</v>
      </c>
      <c r="F6" s="21" t="str">
        <f ca="1">IFERROR(__xludf.DUMMYFUNCTION("""COMPUTED_VALUE"""),"ভুরুঙ্গামারী")</f>
        <v>ভুরুঙ্গামারী</v>
      </c>
      <c r="G6" s="21"/>
      <c r="H6" s="21"/>
      <c r="I6" s="21"/>
      <c r="J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6" s="21"/>
      <c r="L6" s="21">
        <f ca="1">IFERROR(__xludf.DUMMYFUNCTION("""COMPUTED_VALUE"""),26.125547)</f>
        <v>26.125547000000001</v>
      </c>
      <c r="M6" s="21">
        <f ca="1">IFERROR(__xludf.DUMMYFUNCTION("""COMPUTED_VALUE"""),89.729581)</f>
        <v>89.729580999999996</v>
      </c>
      <c r="N6" s="22">
        <f ca="1">IFERROR(__xludf.DUMMYFUNCTION("""COMPUTED_VALUE"""),46175)</f>
        <v>46175</v>
      </c>
      <c r="O6" s="21" t="str">
        <f ca="1">IFERROR(__xludf.DUMMYFUNCTION("""COMPUTED_VALUE"""),"আম-ব্যানানা মেঙ্গো")</f>
        <v>আম-ব্যানানা মেঙ্গো</v>
      </c>
      <c r="P6" s="21" t="str">
        <f ca="1">IFERROR(__xludf.DUMMYFUNCTION("""COMPUTED_VALUE"""),"ফলদ")</f>
        <v>ফলদ</v>
      </c>
      <c r="Q6" s="21">
        <f ca="1">IFERROR(__xludf.DUMMYFUNCTION("""COMPUTED_VALUE"""),33)</f>
        <v>33</v>
      </c>
      <c r="R6" s="21"/>
      <c r="S6" s="21"/>
      <c r="T6" s="21"/>
      <c r="U6" s="21" t="str">
        <f ca="1">IFERROR(__xludf.DUMMYFUNCTION("""COMPUTED_VALUE"""),"মোছা: শারমিন আক্তার")</f>
        <v>মোছা: শারমিন আক্তার</v>
      </c>
      <c r="V6" s="21">
        <f ca="1">IFERROR(__xludf.DUMMYFUNCTION("""COMPUTED_VALUE"""),1712046367)</f>
        <v>1712046367</v>
      </c>
      <c r="W6" s="21" t="str">
        <f ca="1">IFERROR(__xludf.DUMMYFUNCTION("""COMPUTED_VALUE"""),"মো: মঞ্জুরুল ইসলাম")</f>
        <v>মো: মঞ্জুরুল ইসলাম</v>
      </c>
      <c r="X6" s="21">
        <f ca="1">IFERROR(__xludf.DUMMYFUNCTION("""COMPUTED_VALUE"""),1717813138)</f>
        <v>1717813138</v>
      </c>
      <c r="Y6" s="21"/>
      <c r="Z6" s="21"/>
      <c r="AA6" s="21"/>
      <c r="AB6" s="21"/>
      <c r="AC6" s="21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15" customHeight="1" x14ac:dyDescent="0.15">
      <c r="A7" s="24">
        <f ca="1">IFERROR(__xludf.DUMMYFUNCTION("""COMPUTED_VALUE"""),46211.9139699074)</f>
        <v>46211.9139699074</v>
      </c>
      <c r="B7" s="25" t="str">
        <f ca="1">IFERROR(__xludf.DUMMYFUNCTION("""COMPUTED_VALUE"""),"mrd3fmrjqe6os6")</f>
        <v>mrd3fmrjqe6os6</v>
      </c>
      <c r="C7" s="25" t="str">
        <f ca="1">IFERROR(__xludf.DUMMYFUNCTION("""COMPUTED_VALUE"""),"রংপুর")</f>
        <v>রংপুর</v>
      </c>
      <c r="D7" s="25" t="str">
        <f ca="1">IFERROR(__xludf.DUMMYFUNCTION("""COMPUTED_VALUE"""),"রংপুর")</f>
        <v>রংপুর</v>
      </c>
      <c r="E7" s="25" t="str">
        <f ca="1">IFERROR(__xludf.DUMMYFUNCTION("""COMPUTED_VALUE"""),"কুড়িগ্রাম")</f>
        <v>কুড়িগ্রাম</v>
      </c>
      <c r="F7" s="25" t="str">
        <f ca="1">IFERROR(__xludf.DUMMYFUNCTION("""COMPUTED_VALUE"""),"ভুরুঙ্গামারী")</f>
        <v>ভুরুঙ্গামারী</v>
      </c>
      <c r="G7" s="25"/>
      <c r="H7" s="25"/>
      <c r="I7" s="25"/>
      <c r="J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7" s="25"/>
      <c r="L7" s="25">
        <f ca="1">IFERROR(__xludf.DUMMYFUNCTION("""COMPUTED_VALUE"""),26.09305)</f>
        <v>26.093050000000002</v>
      </c>
      <c r="M7" s="25">
        <f ca="1">IFERROR(__xludf.DUMMYFUNCTION("""COMPUTED_VALUE"""),89.69845)</f>
        <v>89.698449999999994</v>
      </c>
      <c r="N7" s="26">
        <f ca="1">IFERROR(__xludf.DUMMYFUNCTION("""COMPUTED_VALUE"""),46168)</f>
        <v>46168</v>
      </c>
      <c r="O7" s="25" t="str">
        <f ca="1">IFERROR(__xludf.DUMMYFUNCTION("""COMPUTED_VALUE"""),"পেয়ারা- গোল্ডেন-৮")</f>
        <v>পেয়ারা- গোল্ডেন-৮</v>
      </c>
      <c r="P7" s="25" t="str">
        <f ca="1">IFERROR(__xludf.DUMMYFUNCTION("""COMPUTED_VALUE"""),"ফলদ")</f>
        <v>ফলদ</v>
      </c>
      <c r="Q7" s="25">
        <f ca="1">IFERROR(__xludf.DUMMYFUNCTION("""COMPUTED_VALUE"""),85)</f>
        <v>85</v>
      </c>
      <c r="R7" s="25"/>
      <c r="S7" s="25"/>
      <c r="T7" s="25"/>
      <c r="U7" s="25" t="str">
        <f ca="1">IFERROR(__xludf.DUMMYFUNCTION("""COMPUTED_VALUE"""),"মোছা: অনিকা বেগম")</f>
        <v>মোছা: অনিকা বেগম</v>
      </c>
      <c r="V7" s="25">
        <f ca="1">IFERROR(__xludf.DUMMYFUNCTION("""COMPUTED_VALUE"""),1774361298)</f>
        <v>1774361298</v>
      </c>
      <c r="W7" s="25" t="str">
        <f ca="1">IFERROR(__xludf.DUMMYFUNCTION("""COMPUTED_VALUE"""),"মো: শাহানুর আলম")</f>
        <v>মো: শাহানুর আলম</v>
      </c>
      <c r="X7" s="25">
        <f ca="1">IFERROR(__xludf.DUMMYFUNCTION("""COMPUTED_VALUE"""),1737084908)</f>
        <v>1737084908</v>
      </c>
      <c r="Y7" s="25"/>
      <c r="Z7" s="25"/>
      <c r="AA7" s="25"/>
      <c r="AB7" s="25"/>
      <c r="AC7" s="25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ht="15" customHeight="1" x14ac:dyDescent="0.15">
      <c r="A8" s="20">
        <f ca="1">IFERROR(__xludf.DUMMYFUNCTION("""COMPUTED_VALUE"""),46211.9139467592)</f>
        <v>46211.913946759203</v>
      </c>
      <c r="B8" s="21" t="str">
        <f ca="1">IFERROR(__xludf.DUMMYFUNCTION("""COMPUTED_VALUE"""),"mrd3fmrjqe6os7")</f>
        <v>mrd3fmrjqe6os7</v>
      </c>
      <c r="C8" s="21" t="str">
        <f ca="1">IFERROR(__xludf.DUMMYFUNCTION("""COMPUTED_VALUE"""),"রংপুর")</f>
        <v>রংপুর</v>
      </c>
      <c r="D8" s="21" t="str">
        <f ca="1">IFERROR(__xludf.DUMMYFUNCTION("""COMPUTED_VALUE"""),"রংপুর")</f>
        <v>রংপুর</v>
      </c>
      <c r="E8" s="21" t="str">
        <f ca="1">IFERROR(__xludf.DUMMYFUNCTION("""COMPUTED_VALUE"""),"কুড়িগ্রাম")</f>
        <v>কুড়িগ্রাম</v>
      </c>
      <c r="F8" s="21" t="str">
        <f ca="1">IFERROR(__xludf.DUMMYFUNCTION("""COMPUTED_VALUE"""),"ভুরুঙ্গামারী")</f>
        <v>ভুরুঙ্গামারী</v>
      </c>
      <c r="G8" s="21"/>
      <c r="H8" s="21"/>
      <c r="I8" s="21"/>
      <c r="J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8" s="21"/>
      <c r="L8" s="21">
        <f ca="1">IFERROR(__xludf.DUMMYFUNCTION("""COMPUTED_VALUE"""),26.125547)</f>
        <v>26.125547000000001</v>
      </c>
      <c r="M8" s="21">
        <f ca="1">IFERROR(__xludf.DUMMYFUNCTION("""COMPUTED_VALUE"""),89.621771)</f>
        <v>89.621770999999995</v>
      </c>
      <c r="N8" s="22">
        <f ca="1">IFERROR(__xludf.DUMMYFUNCTION("""COMPUTED_VALUE"""),46174)</f>
        <v>46174</v>
      </c>
      <c r="O8" s="21" t="str">
        <f ca="1">IFERROR(__xludf.DUMMYFUNCTION("""COMPUTED_VALUE"""),"মাল্টা- বারি-১")</f>
        <v>মাল্টা- বারি-১</v>
      </c>
      <c r="P8" s="21" t="str">
        <f ca="1">IFERROR(__xludf.DUMMYFUNCTION("""COMPUTED_VALUE"""),"ফলদ")</f>
        <v>ফলদ</v>
      </c>
      <c r="Q8" s="21">
        <f ca="1">IFERROR(__xludf.DUMMYFUNCTION("""COMPUTED_VALUE"""),60)</f>
        <v>60</v>
      </c>
      <c r="R8" s="21"/>
      <c r="S8" s="21"/>
      <c r="T8" s="21"/>
      <c r="U8" s="21" t="str">
        <f ca="1">IFERROR(__xludf.DUMMYFUNCTION("""COMPUTED_VALUE"""),"মোছা: আখি আক্তার")</f>
        <v>মোছা: আখি আক্তার</v>
      </c>
      <c r="V8" s="21">
        <f ca="1">IFERROR(__xludf.DUMMYFUNCTION("""COMPUTED_VALUE"""),1642860652)</f>
        <v>1642860652</v>
      </c>
      <c r="W8" s="21" t="str">
        <f ca="1">IFERROR(__xludf.DUMMYFUNCTION("""COMPUTED_VALUE"""),"মো: আবুল বাশার")</f>
        <v>মো: আবুল বাশার</v>
      </c>
      <c r="X8" s="21">
        <f ca="1">IFERROR(__xludf.DUMMYFUNCTION("""COMPUTED_VALUE"""),1303614632)</f>
        <v>1303614632</v>
      </c>
      <c r="Y8" s="21"/>
      <c r="Z8" s="21"/>
      <c r="AA8" s="21"/>
      <c r="AB8" s="21"/>
      <c r="AC8" s="21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15" customHeight="1" x14ac:dyDescent="0.15">
      <c r="A9" s="24">
        <f ca="1">IFERROR(__xludf.DUMMYFUNCTION("""COMPUTED_VALUE"""),46212.9139583333)</f>
        <v>46212.913958333302</v>
      </c>
      <c r="B9" s="25" t="str">
        <f ca="1">IFERROR(__xludf.DUMMYFUNCTION("""COMPUTED_VALUE"""),"mrd3fmrjqe6os8")</f>
        <v>mrd3fmrjqe6os8</v>
      </c>
      <c r="C9" s="25" t="str">
        <f ca="1">IFERROR(__xludf.DUMMYFUNCTION("""COMPUTED_VALUE"""),"রংপুর")</f>
        <v>রংপুর</v>
      </c>
      <c r="D9" s="25" t="str">
        <f ca="1">IFERROR(__xludf.DUMMYFUNCTION("""COMPUTED_VALUE"""),"রংপুর")</f>
        <v>রংপুর</v>
      </c>
      <c r="E9" s="25" t="str">
        <f ca="1">IFERROR(__xludf.DUMMYFUNCTION("""COMPUTED_VALUE"""),"কুড়িগ্রাম")</f>
        <v>কুড়িগ্রাম</v>
      </c>
      <c r="F9" s="25" t="str">
        <f ca="1">IFERROR(__xludf.DUMMYFUNCTION("""COMPUTED_VALUE"""),"ভুরুঙ্গামারী")</f>
        <v>ভুরুঙ্গামারী</v>
      </c>
      <c r="G9" s="25"/>
      <c r="H9" s="25"/>
      <c r="I9" s="25"/>
      <c r="J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9" s="25"/>
      <c r="L9" s="25">
        <f ca="1">IFERROR(__xludf.DUMMYFUNCTION("""COMPUTED_VALUE"""),26.068899)</f>
        <v>26.068898999999998</v>
      </c>
      <c r="M9" s="25">
        <f ca="1">IFERROR(__xludf.DUMMYFUNCTION("""COMPUTED_VALUE"""),89.673812)</f>
        <v>89.673811999999998</v>
      </c>
      <c r="N9" s="26">
        <f ca="1">IFERROR(__xludf.DUMMYFUNCTION("""COMPUTED_VALUE"""),46176)</f>
        <v>46176</v>
      </c>
      <c r="O9" s="25" t="str">
        <f ca="1">IFERROR(__xludf.DUMMYFUNCTION("""COMPUTED_VALUE"""),"লেবু-সিটলেজ")</f>
        <v>লেবু-সিটলেজ</v>
      </c>
      <c r="P9" s="25" t="str">
        <f ca="1">IFERROR(__xludf.DUMMYFUNCTION("""COMPUTED_VALUE"""),"ফলদ")</f>
        <v>ফলদ</v>
      </c>
      <c r="Q9" s="25">
        <f ca="1">IFERROR(__xludf.DUMMYFUNCTION("""COMPUTED_VALUE"""),220)</f>
        <v>220</v>
      </c>
      <c r="R9" s="25"/>
      <c r="S9" s="25"/>
      <c r="T9" s="25"/>
      <c r="U9" s="25" t="str">
        <f ca="1">IFERROR(__xludf.DUMMYFUNCTION("""COMPUTED_VALUE"""),"মো: সফিকুল ইসলাম")</f>
        <v>মো: সফিকুল ইসলাম</v>
      </c>
      <c r="V9" s="25">
        <f ca="1">IFERROR(__xludf.DUMMYFUNCTION("""COMPUTED_VALUE"""),1774361415)</f>
        <v>1774361415</v>
      </c>
      <c r="W9" s="25" t="str">
        <f ca="1">IFERROR(__xludf.DUMMYFUNCTION("""COMPUTED_VALUE"""),"মো: শহিদুল ইসলাম")</f>
        <v>মো: শহিদুল ইসলাম</v>
      </c>
      <c r="X9" s="25">
        <f ca="1">IFERROR(__xludf.DUMMYFUNCTION("""COMPUTED_VALUE"""),1737458464)</f>
        <v>1737458464</v>
      </c>
      <c r="Y9" s="25"/>
      <c r="Z9" s="25"/>
      <c r="AA9" s="25"/>
      <c r="AB9" s="25"/>
      <c r="AC9" s="25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ht="15" customHeight="1" x14ac:dyDescent="0.15">
      <c r="A10" s="20">
        <f ca="1">IFERROR(__xludf.DUMMYFUNCTION("""COMPUTED_VALUE"""),46211.9139699074)</f>
        <v>46211.9139699074</v>
      </c>
      <c r="B10" s="21" t="str">
        <f ca="1">IFERROR(__xludf.DUMMYFUNCTION("""COMPUTED_VALUE"""),"mrd3fmrjqe6os9")</f>
        <v>mrd3fmrjqe6os9</v>
      </c>
      <c r="C10" s="21" t="str">
        <f ca="1">IFERROR(__xludf.DUMMYFUNCTION("""COMPUTED_VALUE"""),"রংপুর")</f>
        <v>রংপুর</v>
      </c>
      <c r="D10" s="21" t="str">
        <f ca="1">IFERROR(__xludf.DUMMYFUNCTION("""COMPUTED_VALUE"""),"রংপুর")</f>
        <v>রংপুর</v>
      </c>
      <c r="E10" s="21" t="str">
        <f ca="1">IFERROR(__xludf.DUMMYFUNCTION("""COMPUTED_VALUE"""),"কুড়িগ্রাম")</f>
        <v>কুড়িগ্রাম</v>
      </c>
      <c r="F10" s="21" t="str">
        <f ca="1">IFERROR(__xludf.DUMMYFUNCTION("""COMPUTED_VALUE"""),"চর রাজিবপুর")</f>
        <v>চর রাজিবপুর</v>
      </c>
      <c r="G10" s="21"/>
      <c r="H10" s="21"/>
      <c r="I10" s="21"/>
      <c r="J1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0" s="21"/>
      <c r="L10" s="21">
        <f ca="1">IFERROR(__xludf.DUMMYFUNCTION("""COMPUTED_VALUE"""),25.482715)</f>
        <v>25.482714999999999</v>
      </c>
      <c r="M10" s="21">
        <f ca="1">IFERROR(__xludf.DUMMYFUNCTION("""COMPUTED_VALUE"""),89.768447)</f>
        <v>89.768446999999995</v>
      </c>
      <c r="N10" s="22">
        <f ca="1">IFERROR(__xludf.DUMMYFUNCTION("""COMPUTED_VALUE"""),46146)</f>
        <v>46146</v>
      </c>
      <c r="O10" s="21" t="str">
        <f ca="1">IFERROR(__xludf.DUMMYFUNCTION("""COMPUTED_VALUE"""),"আম (আমরুপালী)")</f>
        <v>আম (আমরুপালী)</v>
      </c>
      <c r="P10" s="21" t="str">
        <f ca="1">IFERROR(__xludf.DUMMYFUNCTION("""COMPUTED_VALUE"""),"ফলদ")</f>
        <v>ফলদ</v>
      </c>
      <c r="Q10" s="21">
        <f ca="1">IFERROR(__xludf.DUMMYFUNCTION("""COMPUTED_VALUE"""),33)</f>
        <v>33</v>
      </c>
      <c r="R10" s="21"/>
      <c r="S10" s="21"/>
      <c r="T10" s="21"/>
      <c r="U10" s="21" t="str">
        <f ca="1">IFERROR(__xludf.DUMMYFUNCTION("""COMPUTED_VALUE"""),"সিরাজুল ইসলাম")</f>
        <v>সিরাজুল ইসলাম</v>
      </c>
      <c r="V10" s="21">
        <f ca="1">IFERROR(__xludf.DUMMYFUNCTION("""COMPUTED_VALUE"""),1718165491)</f>
        <v>1718165491</v>
      </c>
      <c r="W10" s="21" t="str">
        <f ca="1">IFERROR(__xludf.DUMMYFUNCTION("""COMPUTED_VALUE"""),"মোঃ শাখাওয়াত হোসেন")</f>
        <v>মোঃ শাখাওয়াত হোসেন</v>
      </c>
      <c r="X10" s="21">
        <f ca="1">IFERROR(__xludf.DUMMYFUNCTION("""COMPUTED_VALUE"""),1743668680)</f>
        <v>1743668680</v>
      </c>
      <c r="Y10" s="21"/>
      <c r="Z10" s="21"/>
      <c r="AA10" s="21"/>
      <c r="AB10" s="21"/>
      <c r="AC10" s="21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15" customHeight="1" x14ac:dyDescent="0.15">
      <c r="A11" s="24">
        <f ca="1">IFERROR(__xludf.DUMMYFUNCTION("""COMPUTED_VALUE"""),46211.9139467592)</f>
        <v>46211.913946759203</v>
      </c>
      <c r="B11" s="25" t="str">
        <f ca="1">IFERROR(__xludf.DUMMYFUNCTION("""COMPUTED_VALUE"""),"mrd3fmrjqe6os10")</f>
        <v>mrd3fmrjqe6os10</v>
      </c>
      <c r="C11" s="25" t="str">
        <f ca="1">IFERROR(__xludf.DUMMYFUNCTION("""COMPUTED_VALUE"""),"রংপুর")</f>
        <v>রংপুর</v>
      </c>
      <c r="D11" s="25" t="str">
        <f ca="1">IFERROR(__xludf.DUMMYFUNCTION("""COMPUTED_VALUE"""),"রংপুর")</f>
        <v>রংপুর</v>
      </c>
      <c r="E11" s="25" t="str">
        <f ca="1">IFERROR(__xludf.DUMMYFUNCTION("""COMPUTED_VALUE"""),"কুড়িগ্রাম")</f>
        <v>কুড়িগ্রাম</v>
      </c>
      <c r="F11" s="25" t="str">
        <f ca="1">IFERROR(__xludf.DUMMYFUNCTION("""COMPUTED_VALUE"""),"চর রাজিবপুর")</f>
        <v>চর রাজিবপুর</v>
      </c>
      <c r="G11" s="25"/>
      <c r="H11" s="25"/>
      <c r="I11" s="25"/>
      <c r="J1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1" s="25"/>
      <c r="L11" s="25">
        <f ca="1">IFERROR(__xludf.DUMMYFUNCTION("""COMPUTED_VALUE"""),25.459003)</f>
        <v>25.459002999999999</v>
      </c>
      <c r="M11" s="25">
        <f ca="1">IFERROR(__xludf.DUMMYFUNCTION("""COMPUTED_VALUE"""),89.828174)</f>
        <v>89.828174000000004</v>
      </c>
      <c r="N11" s="26">
        <f ca="1">IFERROR(__xludf.DUMMYFUNCTION("""COMPUTED_VALUE"""),46147)</f>
        <v>46147</v>
      </c>
      <c r="O11" s="25" t="str">
        <f ca="1">IFERROR(__xludf.DUMMYFUNCTION("""COMPUTED_VALUE"""),"পেয়ারা (কাজী)")</f>
        <v>পেয়ারা (কাজী)</v>
      </c>
      <c r="P11" s="25" t="str">
        <f ca="1">IFERROR(__xludf.DUMMYFUNCTION("""COMPUTED_VALUE"""),"ফলদ")</f>
        <v>ফলদ</v>
      </c>
      <c r="Q11" s="25">
        <f ca="1">IFERROR(__xludf.DUMMYFUNCTION("""COMPUTED_VALUE"""),85)</f>
        <v>85</v>
      </c>
      <c r="R11" s="25"/>
      <c r="S11" s="25"/>
      <c r="T11" s="25"/>
      <c r="U11" s="25" t="str">
        <f ca="1">IFERROR(__xludf.DUMMYFUNCTION("""COMPUTED_VALUE"""),"মোঃ শাহ আলম")</f>
        <v>মোঃ শাহ আলম</v>
      </c>
      <c r="V11" s="25">
        <f ca="1">IFERROR(__xludf.DUMMYFUNCTION("""COMPUTED_VALUE"""),1956402022)</f>
        <v>1956402022</v>
      </c>
      <c r="W11" s="25" t="str">
        <f ca="1">IFERROR(__xludf.DUMMYFUNCTION("""COMPUTED_VALUE"""),"মোঃ শাখাওয়াত হোসেন")</f>
        <v>মোঃ শাখাওয়াত হোসেন</v>
      </c>
      <c r="X11" s="25">
        <f ca="1">IFERROR(__xludf.DUMMYFUNCTION("""COMPUTED_VALUE"""),1743668680)</f>
        <v>1743668680</v>
      </c>
      <c r="Y11" s="25"/>
      <c r="Z11" s="25"/>
      <c r="AA11" s="25"/>
      <c r="AB11" s="25"/>
      <c r="AC11" s="25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0" ht="15" customHeight="1" x14ac:dyDescent="0.15">
      <c r="A12" s="20">
        <f ca="1">IFERROR(__xludf.DUMMYFUNCTION("""COMPUTED_VALUE"""),46212.9139583333)</f>
        <v>46212.913958333302</v>
      </c>
      <c r="B12" s="21" t="str">
        <f ca="1">IFERROR(__xludf.DUMMYFUNCTION("""COMPUTED_VALUE"""),"mrd3fmrjqe6os11")</f>
        <v>mrd3fmrjqe6os11</v>
      </c>
      <c r="C12" s="21" t="str">
        <f ca="1">IFERROR(__xludf.DUMMYFUNCTION("""COMPUTED_VALUE"""),"রংপুর")</f>
        <v>রংপুর</v>
      </c>
      <c r="D12" s="21" t="str">
        <f ca="1">IFERROR(__xludf.DUMMYFUNCTION("""COMPUTED_VALUE"""),"রংপুর")</f>
        <v>রংপুর</v>
      </c>
      <c r="E12" s="21" t="str">
        <f ca="1">IFERROR(__xludf.DUMMYFUNCTION("""COMPUTED_VALUE"""),"কুড়িগ্রাম")</f>
        <v>কুড়িগ্রাম</v>
      </c>
      <c r="F12" s="21" t="str">
        <f ca="1">IFERROR(__xludf.DUMMYFUNCTION("""COMPUTED_VALUE"""),"চর রাজিবপুর")</f>
        <v>চর রাজিবপুর</v>
      </c>
      <c r="G12" s="21"/>
      <c r="H12" s="21"/>
      <c r="I12" s="21"/>
      <c r="J1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2" s="21"/>
      <c r="L12" s="21">
        <f ca="1">IFERROR(__xludf.DUMMYFUNCTION("""COMPUTED_VALUE"""),25.427144)</f>
        <v>25.427143999999998</v>
      </c>
      <c r="M12" s="21">
        <f ca="1">IFERROR(__xludf.DUMMYFUNCTION("""COMPUTED_VALUE"""),89.771586)</f>
        <v>89.771585999999999</v>
      </c>
      <c r="N12" s="22">
        <f ca="1">IFERROR(__xludf.DUMMYFUNCTION("""COMPUTED_VALUE"""),46148)</f>
        <v>46148</v>
      </c>
      <c r="O12" s="21" t="str">
        <f ca="1">IFERROR(__xludf.DUMMYFUNCTION("""COMPUTED_VALUE"""),"মাল্টা (বারি মাল্টা-1)")</f>
        <v>মাল্টা (বারি মাল্টা-1)</v>
      </c>
      <c r="P12" s="21" t="str">
        <f ca="1">IFERROR(__xludf.DUMMYFUNCTION("""COMPUTED_VALUE"""),"ফলদ")</f>
        <v>ফলদ</v>
      </c>
      <c r="Q12" s="21">
        <f ca="1">IFERROR(__xludf.DUMMYFUNCTION("""COMPUTED_VALUE"""),60)</f>
        <v>60</v>
      </c>
      <c r="R12" s="21"/>
      <c r="S12" s="21"/>
      <c r="T12" s="21"/>
      <c r="U12" s="21" t="str">
        <f ca="1">IFERROR(__xludf.DUMMYFUNCTION("""COMPUTED_VALUE"""),"মোঃ জহুরুল হক")</f>
        <v>মোঃ জহুরুল হক</v>
      </c>
      <c r="V12" s="21">
        <f ca="1">IFERROR(__xludf.DUMMYFUNCTION("""COMPUTED_VALUE"""),1937371604)</f>
        <v>1937371604</v>
      </c>
      <c r="W12" s="21" t="str">
        <f ca="1">IFERROR(__xludf.DUMMYFUNCTION("""COMPUTED_VALUE"""),"মোঃ শাখাওয়াত হোসেন")</f>
        <v>মোঃ শাখাওয়াত হোসেন</v>
      </c>
      <c r="X12" s="21">
        <f ca="1">IFERROR(__xludf.DUMMYFUNCTION("""COMPUTED_VALUE"""),1743668680)</f>
        <v>1743668680</v>
      </c>
      <c r="Y12" s="21"/>
      <c r="Z12" s="21"/>
      <c r="AA12" s="21"/>
      <c r="AB12" s="21"/>
      <c r="AC12" s="21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15" customHeight="1" x14ac:dyDescent="0.15">
      <c r="A13" s="24">
        <f ca="1">IFERROR(__xludf.DUMMYFUNCTION("""COMPUTED_VALUE"""),46211.9139699074)</f>
        <v>46211.9139699074</v>
      </c>
      <c r="B13" s="25" t="str">
        <f ca="1">IFERROR(__xludf.DUMMYFUNCTION("""COMPUTED_VALUE"""),"mrd3fmrjqe6os12")</f>
        <v>mrd3fmrjqe6os12</v>
      </c>
      <c r="C13" s="25" t="str">
        <f ca="1">IFERROR(__xludf.DUMMYFUNCTION("""COMPUTED_VALUE"""),"রংপুর")</f>
        <v>রংপুর</v>
      </c>
      <c r="D13" s="25" t="str">
        <f ca="1">IFERROR(__xludf.DUMMYFUNCTION("""COMPUTED_VALUE"""),"রংপুর")</f>
        <v>রংপুর</v>
      </c>
      <c r="E13" s="25" t="str">
        <f ca="1">IFERROR(__xludf.DUMMYFUNCTION("""COMPUTED_VALUE"""),"কুড়িগ্রাম")</f>
        <v>কুড়িগ্রাম</v>
      </c>
      <c r="F13" s="25" t="str">
        <f ca="1">IFERROR(__xludf.DUMMYFUNCTION("""COMPUTED_VALUE"""),"চর রাজিবপুর")</f>
        <v>চর রাজিবপুর</v>
      </c>
      <c r="G13" s="25"/>
      <c r="H13" s="25"/>
      <c r="I13" s="25"/>
      <c r="J1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3" s="25"/>
      <c r="L13" s="25">
        <f ca="1">IFERROR(__xludf.DUMMYFUNCTION("""COMPUTED_VALUE"""),25.436446)</f>
        <v>25.436446</v>
      </c>
      <c r="M13" s="25">
        <f ca="1">IFERROR(__xludf.DUMMYFUNCTION("""COMPUTED_VALUE"""),89.777963)</f>
        <v>89.777963</v>
      </c>
      <c r="N13" s="26">
        <f ca="1">IFERROR(__xludf.DUMMYFUNCTION("""COMPUTED_VALUE"""),46149)</f>
        <v>46149</v>
      </c>
      <c r="O13" s="25" t="str">
        <f ca="1">IFERROR(__xludf.DUMMYFUNCTION("""COMPUTED_VALUE"""),"লেবু (দেশী)")</f>
        <v>লেবু (দেশী)</v>
      </c>
      <c r="P13" s="25" t="str">
        <f ca="1">IFERROR(__xludf.DUMMYFUNCTION("""COMPUTED_VALUE"""),"ফলদ")</f>
        <v>ফলদ</v>
      </c>
      <c r="Q13" s="25">
        <f ca="1">IFERROR(__xludf.DUMMYFUNCTION("""COMPUTED_VALUE"""),370)</f>
        <v>370</v>
      </c>
      <c r="R13" s="25"/>
      <c r="S13" s="25"/>
      <c r="T13" s="25"/>
      <c r="U13" s="25" t="str">
        <f ca="1">IFERROR(__xludf.DUMMYFUNCTION("""COMPUTED_VALUE"""),"মোঃ আলমগীর হোসেন")</f>
        <v>মোঃ আলমগীর হোসেন</v>
      </c>
      <c r="V13" s="25">
        <f ca="1">IFERROR(__xludf.DUMMYFUNCTION("""COMPUTED_VALUE"""),1935305296)</f>
        <v>1935305296</v>
      </c>
      <c r="W13" s="25" t="str">
        <f ca="1">IFERROR(__xludf.DUMMYFUNCTION("""COMPUTED_VALUE"""),"মোঃ শাখাওয়াত হোসেন")</f>
        <v>মোঃ শাখাওয়াত হোসেন</v>
      </c>
      <c r="X13" s="25">
        <f ca="1">IFERROR(__xludf.DUMMYFUNCTION("""COMPUTED_VALUE"""),1743668680)</f>
        <v>1743668680</v>
      </c>
      <c r="Y13" s="25"/>
      <c r="Z13" s="25"/>
      <c r="AA13" s="25"/>
      <c r="AB13" s="25"/>
      <c r="AC13" s="25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ht="15" customHeight="1" x14ac:dyDescent="0.15">
      <c r="A14" s="20">
        <f ca="1">IFERROR(__xludf.DUMMYFUNCTION("""COMPUTED_VALUE"""),46211.9139467592)</f>
        <v>46211.913946759203</v>
      </c>
      <c r="B14" s="21" t="str">
        <f ca="1">IFERROR(__xludf.DUMMYFUNCTION("""COMPUTED_VALUE"""),"mrd3fmrjqe6os13")</f>
        <v>mrd3fmrjqe6os13</v>
      </c>
      <c r="C14" s="21" t="str">
        <f ca="1">IFERROR(__xludf.DUMMYFUNCTION("""COMPUTED_VALUE"""),"রংপুর")</f>
        <v>রংপুর</v>
      </c>
      <c r="D14" s="21" t="str">
        <f ca="1">IFERROR(__xludf.DUMMYFUNCTION("""COMPUTED_VALUE"""),"রংপুর")</f>
        <v>রংপুর</v>
      </c>
      <c r="E14" s="21" t="str">
        <f ca="1">IFERROR(__xludf.DUMMYFUNCTION("""COMPUTED_VALUE"""),"কুড়িগ্রাম")</f>
        <v>কুড়িগ্রাম</v>
      </c>
      <c r="F14" s="21" t="str">
        <f ca="1">IFERROR(__xludf.DUMMYFUNCTION("""COMPUTED_VALUE"""),"উলিপুর")</f>
        <v>উলিপুর</v>
      </c>
      <c r="G14" s="21"/>
      <c r="H14" s="21"/>
      <c r="I14" s="21"/>
      <c r="J1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4" s="21"/>
      <c r="L14" s="21">
        <f ca="1">IFERROR(__xludf.DUMMYFUNCTION("""COMPUTED_VALUE"""),25.719195)</f>
        <v>25.719194999999999</v>
      </c>
      <c r="M14" s="21">
        <f ca="1">IFERROR(__xludf.DUMMYFUNCTION("""COMPUTED_VALUE"""),89.552201)</f>
        <v>89.552200999999997</v>
      </c>
      <c r="N14" s="22">
        <f ca="1">IFERROR(__xludf.DUMMYFUNCTION("""COMPUTED_VALUE"""),46153)</f>
        <v>46153</v>
      </c>
      <c r="O14" s="21" t="str">
        <f ca="1">IFERROR(__xludf.DUMMYFUNCTION("""COMPUTED_VALUE"""),"থাই পেয়ারা")</f>
        <v>থাই পেয়ারা</v>
      </c>
      <c r="P14" s="21" t="str">
        <f ca="1">IFERROR(__xludf.DUMMYFUNCTION("""COMPUTED_VALUE"""),"ফলদ")</f>
        <v>ফলদ</v>
      </c>
      <c r="Q14" s="21">
        <f ca="1">IFERROR(__xludf.DUMMYFUNCTION("""COMPUTED_VALUE"""),85)</f>
        <v>85</v>
      </c>
      <c r="R14" s="21"/>
      <c r="S14" s="21"/>
      <c r="T14" s="21"/>
      <c r="U14" s="21" t="str">
        <f ca="1">IFERROR(__xludf.DUMMYFUNCTION("""COMPUTED_VALUE"""),"মোঃ নবিউল ইসলাম")</f>
        <v>মোঃ নবিউল ইসলাম</v>
      </c>
      <c r="V14" s="21">
        <f ca="1">IFERROR(__xludf.DUMMYFUNCTION("""COMPUTED_VALUE"""),1714925452)</f>
        <v>1714925452</v>
      </c>
      <c r="W14" s="21" t="str">
        <f ca="1">IFERROR(__xludf.DUMMYFUNCTION("""COMPUTED_VALUE"""),"মোঃ শাহ আলম")</f>
        <v>মোঃ শাহ আলম</v>
      </c>
      <c r="X14" s="21">
        <f ca="1">IFERROR(__xludf.DUMMYFUNCTION("""COMPUTED_VALUE"""),1740147853)</f>
        <v>1740147853</v>
      </c>
      <c r="Y14" s="21"/>
      <c r="Z14" s="21"/>
      <c r="AA14" s="21"/>
      <c r="AB14" s="21"/>
      <c r="AC14" s="21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15" customHeight="1" x14ac:dyDescent="0.15">
      <c r="A15" s="24">
        <f ca="1">IFERROR(__xludf.DUMMYFUNCTION("""COMPUTED_VALUE"""),46212.9139583333)</f>
        <v>46212.913958333302</v>
      </c>
      <c r="B15" s="25" t="str">
        <f ca="1">IFERROR(__xludf.DUMMYFUNCTION("""COMPUTED_VALUE"""),"mrd3fmrjqe6os14")</f>
        <v>mrd3fmrjqe6os14</v>
      </c>
      <c r="C15" s="25" t="str">
        <f ca="1">IFERROR(__xludf.DUMMYFUNCTION("""COMPUTED_VALUE"""),"রংপুর")</f>
        <v>রংপুর</v>
      </c>
      <c r="D15" s="25" t="str">
        <f ca="1">IFERROR(__xludf.DUMMYFUNCTION("""COMPUTED_VALUE"""),"রংপুর")</f>
        <v>রংপুর</v>
      </c>
      <c r="E15" s="25" t="str">
        <f ca="1">IFERROR(__xludf.DUMMYFUNCTION("""COMPUTED_VALUE"""),"কুড়িগ্রাম")</f>
        <v>কুড়িগ্রাম</v>
      </c>
      <c r="F15" s="25" t="str">
        <f ca="1">IFERROR(__xludf.DUMMYFUNCTION("""COMPUTED_VALUE"""),"উলিপুর")</f>
        <v>উলিপুর</v>
      </c>
      <c r="G15" s="25"/>
      <c r="H15" s="25"/>
      <c r="I15" s="25"/>
      <c r="J1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5" s="25"/>
      <c r="L15" s="25">
        <f ca="1">IFERROR(__xludf.DUMMYFUNCTION("""COMPUTED_VALUE"""),25.656067)</f>
        <v>25.656067</v>
      </c>
      <c r="M15" s="25">
        <f ca="1">IFERROR(__xludf.DUMMYFUNCTION("""COMPUTED_VALUE"""),89.648548)</f>
        <v>89.648548000000005</v>
      </c>
      <c r="N15" s="26">
        <f ca="1">IFERROR(__xludf.DUMMYFUNCTION("""COMPUTED_VALUE"""),46158)</f>
        <v>46158</v>
      </c>
      <c r="O15" s="25" t="str">
        <f ca="1">IFERROR(__xludf.DUMMYFUNCTION("""COMPUTED_VALUE"""),"বারি মাল্টা-১")</f>
        <v>বারি মাল্টা-১</v>
      </c>
      <c r="P15" s="25" t="str">
        <f ca="1">IFERROR(__xludf.DUMMYFUNCTION("""COMPUTED_VALUE"""),"ফলদ")</f>
        <v>ফলদ</v>
      </c>
      <c r="Q15" s="25">
        <f ca="1">IFERROR(__xludf.DUMMYFUNCTION("""COMPUTED_VALUE"""),60)</f>
        <v>60</v>
      </c>
      <c r="R15" s="25"/>
      <c r="S15" s="25"/>
      <c r="T15" s="25"/>
      <c r="U15" s="25" t="str">
        <f ca="1">IFERROR(__xludf.DUMMYFUNCTION("""COMPUTED_VALUE"""),"মোঃ ফজলে কাদীর")</f>
        <v>মোঃ ফজলে কাদীর</v>
      </c>
      <c r="V15" s="25">
        <f ca="1">IFERROR(__xludf.DUMMYFUNCTION("""COMPUTED_VALUE"""),1751373251)</f>
        <v>1751373251</v>
      </c>
      <c r="W15" s="25" t="str">
        <f ca="1">IFERROR(__xludf.DUMMYFUNCTION("""COMPUTED_VALUE"""),"মোঃ গোলজার হোসেন")</f>
        <v>মোঃ গোলজার হোসেন</v>
      </c>
      <c r="X15" s="25">
        <f ca="1">IFERROR(__xludf.DUMMYFUNCTION("""COMPUTED_VALUE"""),1724264812)</f>
        <v>1724264812</v>
      </c>
      <c r="Y15" s="25"/>
      <c r="Z15" s="25"/>
      <c r="AA15" s="25"/>
      <c r="AB15" s="25"/>
      <c r="AC15" s="25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spans="1:40" ht="15" customHeight="1" x14ac:dyDescent="0.15">
      <c r="A16" s="20">
        <f ca="1">IFERROR(__xludf.DUMMYFUNCTION("""COMPUTED_VALUE"""),46211.9139699074)</f>
        <v>46211.9139699074</v>
      </c>
      <c r="B16" s="21" t="str">
        <f ca="1">IFERROR(__xludf.DUMMYFUNCTION("""COMPUTED_VALUE"""),"mrd3fmrjqe6os15")</f>
        <v>mrd3fmrjqe6os15</v>
      </c>
      <c r="C16" s="21" t="str">
        <f ca="1">IFERROR(__xludf.DUMMYFUNCTION("""COMPUTED_VALUE"""),"রংপুর")</f>
        <v>রংপুর</v>
      </c>
      <c r="D16" s="21" t="str">
        <f ca="1">IFERROR(__xludf.DUMMYFUNCTION("""COMPUTED_VALUE"""),"রংপুর")</f>
        <v>রংপুর</v>
      </c>
      <c r="E16" s="21" t="str">
        <f ca="1">IFERROR(__xludf.DUMMYFUNCTION("""COMPUTED_VALUE"""),"কুড়িগ্রাম")</f>
        <v>কুড়িগ্রাম</v>
      </c>
      <c r="F16" s="21" t="str">
        <f ca="1">IFERROR(__xludf.DUMMYFUNCTION("""COMPUTED_VALUE"""),"উলিপুর")</f>
        <v>উলিপুর</v>
      </c>
      <c r="G16" s="21"/>
      <c r="H16" s="21"/>
      <c r="I16" s="21"/>
      <c r="J1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6" s="21"/>
      <c r="L16" s="21">
        <f ca="1">IFERROR(__xludf.DUMMYFUNCTION("""COMPUTED_VALUE"""),25.690651)</f>
        <v>25.690650999999999</v>
      </c>
      <c r="M16" s="21">
        <f ca="1">IFERROR(__xludf.DUMMYFUNCTION("""COMPUTED_VALUE"""),89.61554)</f>
        <v>89.615539999999996</v>
      </c>
      <c r="N16" s="22">
        <f ca="1">IFERROR(__xludf.DUMMYFUNCTION("""COMPUTED_VALUE"""),46162)</f>
        <v>46162</v>
      </c>
      <c r="O16" s="21" t="str">
        <f ca="1">IFERROR(__xludf.DUMMYFUNCTION("""COMPUTED_VALUE"""),"লেবু চায়না-৩")</f>
        <v>লেবু চায়না-৩</v>
      </c>
      <c r="P16" s="21" t="str">
        <f ca="1">IFERROR(__xludf.DUMMYFUNCTION("""COMPUTED_VALUE"""),"ফলদ")</f>
        <v>ফলদ</v>
      </c>
      <c r="Q16" s="21">
        <f ca="1">IFERROR(__xludf.DUMMYFUNCTION("""COMPUTED_VALUE"""),220)</f>
        <v>220</v>
      </c>
      <c r="R16" s="21"/>
      <c r="S16" s="21"/>
      <c r="T16" s="21"/>
      <c r="U16" s="21" t="str">
        <f ca="1">IFERROR(__xludf.DUMMYFUNCTION("""COMPUTED_VALUE"""),"মোঃ মাসুদ رানা")</f>
        <v>মোঃ মাসুদ رানা</v>
      </c>
      <c r="V16" s="21">
        <f ca="1">IFERROR(__xludf.DUMMYFUNCTION("""COMPUTED_VALUE"""),1731439180)</f>
        <v>1731439180</v>
      </c>
      <c r="W16" s="21" t="str">
        <f ca="1">IFERROR(__xludf.DUMMYFUNCTION("""COMPUTED_VALUE"""),"মোঃ শওকত আলী")</f>
        <v>মোঃ শওকত আলী</v>
      </c>
      <c r="X16" s="21">
        <f ca="1">IFERROR(__xludf.DUMMYFUNCTION("""COMPUTED_VALUE"""),1710050829)</f>
        <v>1710050829</v>
      </c>
      <c r="Y16" s="21"/>
      <c r="Z16" s="21"/>
      <c r="AA16" s="21"/>
      <c r="AB16" s="21"/>
      <c r="AC16" s="21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15" customHeight="1" x14ac:dyDescent="0.15">
      <c r="A17" s="24">
        <f ca="1">IFERROR(__xludf.DUMMYFUNCTION("""COMPUTED_VALUE"""),46211.9139467592)</f>
        <v>46211.913946759203</v>
      </c>
      <c r="B17" s="25" t="str">
        <f ca="1">IFERROR(__xludf.DUMMYFUNCTION("""COMPUTED_VALUE"""),"mrd3fmrjqe6os16")</f>
        <v>mrd3fmrjqe6os16</v>
      </c>
      <c r="C17" s="25" t="str">
        <f ca="1">IFERROR(__xludf.DUMMYFUNCTION("""COMPUTED_VALUE"""),"রংপুর")</f>
        <v>রংপুর</v>
      </c>
      <c r="D17" s="25" t="str">
        <f ca="1">IFERROR(__xludf.DUMMYFUNCTION("""COMPUTED_VALUE"""),"রংপুর")</f>
        <v>রংপুর</v>
      </c>
      <c r="E17" s="25" t="str">
        <f ca="1">IFERROR(__xludf.DUMMYFUNCTION("""COMPUTED_VALUE"""),"কুড়িগ্রাম")</f>
        <v>কুড়িগ্রাম</v>
      </c>
      <c r="F17" s="25" t="str">
        <f ca="1">IFERROR(__xludf.DUMMYFUNCTION("""COMPUTED_VALUE"""),"উলিপুর")</f>
        <v>উলিপুর</v>
      </c>
      <c r="G17" s="25"/>
      <c r="H17" s="25"/>
      <c r="I17" s="25"/>
      <c r="J1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7" s="25"/>
      <c r="L17" s="25">
        <f ca="1">IFERROR(__xludf.DUMMYFUNCTION("""COMPUTED_VALUE"""),25.642387)</f>
        <v>25.642386999999999</v>
      </c>
      <c r="M17" s="25">
        <f ca="1">IFERROR(__xludf.DUMMYFUNCTION("""COMPUTED_VALUE"""),89.617095)</f>
        <v>89.617095000000006</v>
      </c>
      <c r="N17" s="26">
        <f ca="1">IFERROR(__xludf.DUMMYFUNCTION("""COMPUTED_VALUE"""),46160)</f>
        <v>46160</v>
      </c>
      <c r="O17" s="25" t="str">
        <f ca="1">IFERROR(__xludf.DUMMYFUNCTION("""COMPUTED_VALUE"""),"বারি আম-4")</f>
        <v>বারি আম-4</v>
      </c>
      <c r="P17" s="25" t="str">
        <f ca="1">IFERROR(__xludf.DUMMYFUNCTION("""COMPUTED_VALUE"""),"ফলদ")</f>
        <v>ফলদ</v>
      </c>
      <c r="Q17" s="25">
        <f ca="1">IFERROR(__xludf.DUMMYFUNCTION("""COMPUTED_VALUE"""),33)</f>
        <v>33</v>
      </c>
      <c r="R17" s="25"/>
      <c r="S17" s="25"/>
      <c r="T17" s="25"/>
      <c r="U17" s="25" t="str">
        <f ca="1">IFERROR(__xludf.DUMMYFUNCTION("""COMPUTED_VALUE"""),"মোছাঃ শামীম আক্তার আমিন")</f>
        <v>মোছাঃ শামীম আক্তার আমিন</v>
      </c>
      <c r="V17" s="25">
        <f ca="1">IFERROR(__xludf.DUMMYFUNCTION("""COMPUTED_VALUE"""),1794664933)</f>
        <v>1794664933</v>
      </c>
      <c r="W17" s="25" t="str">
        <f ca="1">IFERROR(__xludf.DUMMYFUNCTION("""COMPUTED_VALUE"""),"মোঃ শওকত আলী")</f>
        <v>মোঃ শওকত আলী</v>
      </c>
      <c r="X17" s="25">
        <f ca="1">IFERROR(__xludf.DUMMYFUNCTION("""COMPUTED_VALUE"""),1710050829)</f>
        <v>1710050829</v>
      </c>
      <c r="Y17" s="25"/>
      <c r="Z17" s="25"/>
      <c r="AA17" s="25"/>
      <c r="AB17" s="25"/>
      <c r="AC17" s="25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ht="15" customHeight="1" x14ac:dyDescent="0.15">
      <c r="A18" s="20">
        <f ca="1">IFERROR(__xludf.DUMMYFUNCTION("""COMPUTED_VALUE"""),46212.9139583333)</f>
        <v>46212.913958333302</v>
      </c>
      <c r="B18" s="21" t="str">
        <f ca="1">IFERROR(__xludf.DUMMYFUNCTION("""COMPUTED_VALUE"""),"mrd3fmrjqe6os17")</f>
        <v>mrd3fmrjqe6os17</v>
      </c>
      <c r="C18" s="21" t="str">
        <f ca="1">IFERROR(__xludf.DUMMYFUNCTION("""COMPUTED_VALUE"""),"রংপুর")</f>
        <v>রংপুর</v>
      </c>
      <c r="D18" s="21" t="str">
        <f ca="1">IFERROR(__xludf.DUMMYFUNCTION("""COMPUTED_VALUE"""),"রংপুর")</f>
        <v>রংপুর</v>
      </c>
      <c r="E18" s="21" t="str">
        <f ca="1">IFERROR(__xludf.DUMMYFUNCTION("""COMPUTED_VALUE"""),"কুড়িগ্রাম")</f>
        <v>কুড়িগ্রাম</v>
      </c>
      <c r="F18" s="21" t="str">
        <f ca="1">IFERROR(__xludf.DUMMYFUNCTION("""COMPUTED_VALUE"""),"রৌমারী")</f>
        <v>রৌমারী</v>
      </c>
      <c r="G18" s="21"/>
      <c r="H18" s="21"/>
      <c r="I18" s="21"/>
      <c r="J1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8" s="21"/>
      <c r="L18" s="21">
        <f ca="1">IFERROR(__xludf.DUMMYFUNCTION("""COMPUTED_VALUE"""),25.56304)</f>
        <v>25.563040000000001</v>
      </c>
      <c r="M18" s="21">
        <f ca="1">IFERROR(__xludf.DUMMYFUNCTION("""COMPUTED_VALUE"""),89.8519)</f>
        <v>89.851900000000001</v>
      </c>
      <c r="N18" s="22">
        <f ca="1">IFERROR(__xludf.DUMMYFUNCTION("""COMPUTED_VALUE"""),46154)</f>
        <v>46154</v>
      </c>
      <c r="O18" s="21" t="str">
        <f ca="1">IFERROR(__xludf.DUMMYFUNCTION("""COMPUTED_VALUE"""),"আম (আমরুপালী)")</f>
        <v>আম (আমরুপালী)</v>
      </c>
      <c r="P18" s="21" t="str">
        <f ca="1">IFERROR(__xludf.DUMMYFUNCTION("""COMPUTED_VALUE"""),"ফলদ")</f>
        <v>ফলদ</v>
      </c>
      <c r="Q18" s="21">
        <f ca="1">IFERROR(__xludf.DUMMYFUNCTION("""COMPUTED_VALUE"""),33)</f>
        <v>33</v>
      </c>
      <c r="R18" s="21"/>
      <c r="S18" s="21"/>
      <c r="T18" s="21"/>
      <c r="U18" s="21" t="str">
        <f ca="1">IFERROR(__xludf.DUMMYFUNCTION("""COMPUTED_VALUE"""),"মো: আব্দুল জলিল")</f>
        <v>মো: আব্দুল জলিল</v>
      </c>
      <c r="V18" s="21">
        <f ca="1">IFERROR(__xludf.DUMMYFUNCTION("""COMPUTED_VALUE"""),1725394851)</f>
        <v>1725394851</v>
      </c>
      <c r="W18" s="21" t="str">
        <f ca="1">IFERROR(__xludf.DUMMYFUNCTION("""COMPUTED_VALUE"""),"মোঃ আবু সায়েম")</f>
        <v>মোঃ আবু সায়েম</v>
      </c>
      <c r="X18" s="21">
        <f ca="1">IFERROR(__xludf.DUMMYFUNCTION("""COMPUTED_VALUE"""),1719654123)</f>
        <v>1719654123</v>
      </c>
      <c r="Y18" s="21"/>
      <c r="Z18" s="21"/>
      <c r="AA18" s="21"/>
      <c r="AB18" s="21"/>
      <c r="AC18" s="21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15" customHeight="1" x14ac:dyDescent="0.15">
      <c r="A19" s="24">
        <f ca="1">IFERROR(__xludf.DUMMYFUNCTION("""COMPUTED_VALUE"""),46211.9139699074)</f>
        <v>46211.9139699074</v>
      </c>
      <c r="B19" s="25" t="str">
        <f ca="1">IFERROR(__xludf.DUMMYFUNCTION("""COMPUTED_VALUE"""),"mrd3fmrjqe6os18")</f>
        <v>mrd3fmrjqe6os18</v>
      </c>
      <c r="C19" s="25" t="str">
        <f ca="1">IFERROR(__xludf.DUMMYFUNCTION("""COMPUTED_VALUE"""),"রংপুর")</f>
        <v>রংপুর</v>
      </c>
      <c r="D19" s="25" t="str">
        <f ca="1">IFERROR(__xludf.DUMMYFUNCTION("""COMPUTED_VALUE"""),"রংপুর")</f>
        <v>রংপুর</v>
      </c>
      <c r="E19" s="25" t="str">
        <f ca="1">IFERROR(__xludf.DUMMYFUNCTION("""COMPUTED_VALUE"""),"কুড়িগ্রাম")</f>
        <v>কুড়িগ্রাম</v>
      </c>
      <c r="F19" s="25" t="str">
        <f ca="1">IFERROR(__xludf.DUMMYFUNCTION("""COMPUTED_VALUE"""),"রৌমারী")</f>
        <v>রৌমারী</v>
      </c>
      <c r="G19" s="25"/>
      <c r="H19" s="25"/>
      <c r="I19" s="25"/>
      <c r="J1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9" s="25"/>
      <c r="L19" s="25">
        <f ca="1">IFERROR(__xludf.DUMMYFUNCTION("""COMPUTED_VALUE"""),25.5412)</f>
        <v>25.5412</v>
      </c>
      <c r="M19" s="25">
        <f ca="1">IFERROR(__xludf.DUMMYFUNCTION("""COMPUTED_VALUE"""),89.831)</f>
        <v>89.831000000000003</v>
      </c>
      <c r="N19" s="26">
        <f ca="1">IFERROR(__xludf.DUMMYFUNCTION("""COMPUTED_VALUE"""),46155)</f>
        <v>46155</v>
      </c>
      <c r="O19" s="25" t="str">
        <f ca="1">IFERROR(__xludf.DUMMYFUNCTION("""COMPUTED_VALUE"""),"পেয়ারা (থাই)")</f>
        <v>পেয়ারা (থাই)</v>
      </c>
      <c r="P19" s="25" t="str">
        <f ca="1">IFERROR(__xludf.DUMMYFUNCTION("""COMPUTED_VALUE"""),"ফলদ")</f>
        <v>ফলদ</v>
      </c>
      <c r="Q19" s="25">
        <f ca="1">IFERROR(__xludf.DUMMYFUNCTION("""COMPUTED_VALUE"""),85)</f>
        <v>85</v>
      </c>
      <c r="R19" s="25"/>
      <c r="S19" s="25"/>
      <c r="T19" s="25"/>
      <c r="U19" s="25" t="str">
        <f ca="1">IFERROR(__xludf.DUMMYFUNCTION("""COMPUTED_VALUE"""),"মোছা: ফাতেমা বেগম")</f>
        <v>মোছা: ফাতেমা বেগম</v>
      </c>
      <c r="V19" s="25">
        <f ca="1">IFERROR(__xludf.DUMMYFUNCTION("""COMPUTED_VALUE"""),1734981254)</f>
        <v>1734981254</v>
      </c>
      <c r="W19" s="25" t="str">
        <f ca="1">IFERROR(__xludf.DUMMYFUNCTION("""COMPUTED_VALUE"""),"মোঃ আবু সায়েম")</f>
        <v>মোঃ আবু সায়েম</v>
      </c>
      <c r="X19" s="25">
        <f ca="1">IFERROR(__xludf.DUMMYFUNCTION("""COMPUTED_VALUE"""),1719654123)</f>
        <v>1719654123</v>
      </c>
      <c r="Y19" s="25"/>
      <c r="Z19" s="25"/>
      <c r="AA19" s="25"/>
      <c r="AB19" s="25"/>
      <c r="AC19" s="25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ht="15" customHeight="1" x14ac:dyDescent="0.15">
      <c r="A20" s="20">
        <f ca="1">IFERROR(__xludf.DUMMYFUNCTION("""COMPUTED_VALUE"""),46211.9139467592)</f>
        <v>46211.913946759203</v>
      </c>
      <c r="B20" s="21" t="str">
        <f ca="1">IFERROR(__xludf.DUMMYFUNCTION("""COMPUTED_VALUE"""),"mrd3fmrjqe6os19")</f>
        <v>mrd3fmrjqe6os19</v>
      </c>
      <c r="C20" s="21" t="str">
        <f ca="1">IFERROR(__xludf.DUMMYFUNCTION("""COMPUTED_VALUE"""),"রংপুর")</f>
        <v>রংপুর</v>
      </c>
      <c r="D20" s="21" t="str">
        <f ca="1">IFERROR(__xludf.DUMMYFUNCTION("""COMPUTED_VALUE"""),"রংপুর")</f>
        <v>রংপুর</v>
      </c>
      <c r="E20" s="21" t="str">
        <f ca="1">IFERROR(__xludf.DUMMYFUNCTION("""COMPUTED_VALUE"""),"কুড়িগ্রাম")</f>
        <v>কুড়িগ্রাম</v>
      </c>
      <c r="F20" s="21" t="str">
        <f ca="1">IFERROR(__xludf.DUMMYFUNCTION("""COMPUTED_VALUE"""),"রৌমারী")</f>
        <v>রৌমারী</v>
      </c>
      <c r="G20" s="21"/>
      <c r="H20" s="21"/>
      <c r="I20" s="21"/>
      <c r="J2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0" s="21"/>
      <c r="L20" s="21">
        <f ca="1">IFERROR(__xludf.DUMMYFUNCTION("""COMPUTED_VALUE"""),25.58411)</f>
        <v>25.584109999999999</v>
      </c>
      <c r="M20" s="21">
        <f ca="1">IFERROR(__xludf.DUMMYFUNCTION("""COMPUTED_VALUE"""),89.88215)</f>
        <v>89.882149999999996</v>
      </c>
      <c r="N20" s="22">
        <f ca="1">IFERROR(__xludf.DUMMYFUNCTION("""COMPUTED_VALUE"""),46157)</f>
        <v>46157</v>
      </c>
      <c r="O20" s="21" t="str">
        <f ca="1">IFERROR(__xludf.DUMMYFUNCTION("""COMPUTED_VALUE"""),"মাল্টা বারি-১")</f>
        <v>মাল্টা বারি-১</v>
      </c>
      <c r="P20" s="21" t="str">
        <f ca="1">IFERROR(__xludf.DUMMYFUNCTION("""COMPUTED_VALUE"""),"ফলদ")</f>
        <v>ফলদ</v>
      </c>
      <c r="Q20" s="21">
        <f ca="1">IFERROR(__xludf.DUMMYFUNCTION("""COMPUTED_VALUE"""),60)</f>
        <v>60</v>
      </c>
      <c r="R20" s="21"/>
      <c r="S20" s="21"/>
      <c r="T20" s="21"/>
      <c r="U20" s="21" t="str">
        <f ca="1">IFERROR(__xludf.DUMMYFUNCTION("""COMPUTED_VALUE"""),"মো: ছাইদুর রহমান")</f>
        <v>মো: ছাইদুর রহমান</v>
      </c>
      <c r="V20" s="21">
        <f ca="1">IFERROR(__xludf.DUMMYFUNCTION("""COMPUTED_VALUE"""),1915438291)</f>
        <v>1915438291</v>
      </c>
      <c r="W20" s="21" t="str">
        <f ca="1">IFERROR(__xludf.DUMMYFUNCTION("""COMPUTED_VALUE"""),"মোঃ আবু সায়েম")</f>
        <v>মোঃ আবু সায়েম</v>
      </c>
      <c r="X20" s="21">
        <f ca="1">IFERROR(__xludf.DUMMYFUNCTION("""COMPUTED_VALUE"""),1719654123)</f>
        <v>1719654123</v>
      </c>
      <c r="Y20" s="21"/>
      <c r="Z20" s="21"/>
      <c r="AA20" s="21"/>
      <c r="AB20" s="21"/>
      <c r="AC20" s="21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5" customHeight="1" x14ac:dyDescent="0.15">
      <c r="A21" s="24">
        <f ca="1">IFERROR(__xludf.DUMMYFUNCTION("""COMPUTED_VALUE"""),46212.9139583333)</f>
        <v>46212.913958333302</v>
      </c>
      <c r="B21" s="25" t="str">
        <f ca="1">IFERROR(__xludf.DUMMYFUNCTION("""COMPUTED_VALUE"""),"mrd3fmrjqe6os20")</f>
        <v>mrd3fmrjqe6os20</v>
      </c>
      <c r="C21" s="25" t="str">
        <f ca="1">IFERROR(__xludf.DUMMYFUNCTION("""COMPUTED_VALUE"""),"রংপুর")</f>
        <v>রংপুর</v>
      </c>
      <c r="D21" s="25" t="str">
        <f ca="1">IFERROR(__xludf.DUMMYFUNCTION("""COMPUTED_VALUE"""),"রংপুর")</f>
        <v>রংপুর</v>
      </c>
      <c r="E21" s="25" t="str">
        <f ca="1">IFERROR(__xludf.DUMMYFUNCTION("""COMPUTED_VALUE"""),"কুড়িগ্রাম")</f>
        <v>কুড়িগ্রাম</v>
      </c>
      <c r="F21" s="25" t="str">
        <f ca="1">IFERROR(__xludf.DUMMYFUNCTION("""COMPUTED_VALUE"""),"রৌমারী")</f>
        <v>রৌমারী</v>
      </c>
      <c r="G21" s="25"/>
      <c r="H21" s="25"/>
      <c r="I21" s="25"/>
      <c r="J2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1" s="25"/>
      <c r="L21" s="25">
        <f ca="1">IFERROR(__xludf.DUMMYFUNCTION("""COMPUTED_VALUE"""),25.5523)</f>
        <v>25.552299999999999</v>
      </c>
      <c r="M21" s="25">
        <f ca="1">IFERROR(__xludf.DUMMYFUNCTION("""COMPUTED_VALUE"""),89.8454)</f>
        <v>89.845399999999998</v>
      </c>
      <c r="N21" s="26">
        <f ca="1">IFERROR(__xludf.DUMMYFUNCTION("""COMPUTED_VALUE"""),46157)</f>
        <v>46157</v>
      </c>
      <c r="O21" s="25" t="str">
        <f ca="1">IFERROR(__xludf.DUMMYFUNCTION("""COMPUTED_VALUE"""),"লেবু (কাগজী)")</f>
        <v>লেবু (কাগজী)</v>
      </c>
      <c r="P21" s="25" t="str">
        <f ca="1">IFERROR(__xludf.DUMMYFUNCTION("""COMPUTED_VALUE"""),"ফলদ")</f>
        <v>ফলদ</v>
      </c>
      <c r="Q21" s="25">
        <f ca="1">IFERROR(__xludf.DUMMYFUNCTION("""COMPUTED_VALUE"""),220)</f>
        <v>220</v>
      </c>
      <c r="R21" s="25"/>
      <c r="S21" s="25"/>
      <c r="T21" s="25"/>
      <c r="U21" s="25" t="str">
        <f ca="1">IFERROR(__xludf.DUMMYFUNCTION("""COMPUTED_VALUE"""),"মো: নরুল ইসলাম")</f>
        <v>মো: নরুল ইসলাম</v>
      </c>
      <c r="V21" s="25">
        <f ca="1">IFERROR(__xludf.DUMMYFUNCTION("""COMPUTED_VALUE"""),1712438950)</f>
        <v>1712438950</v>
      </c>
      <c r="W21" s="25" t="str">
        <f ca="1">IFERROR(__xludf.DUMMYFUNCTION("""COMPUTED_VALUE"""),"মোঃ আবু সায়েম")</f>
        <v>মোঃ আবু সায়েম</v>
      </c>
      <c r="X21" s="25">
        <f ca="1">IFERROR(__xludf.DUMMYFUNCTION("""COMPUTED_VALUE"""),1719654123)</f>
        <v>1719654123</v>
      </c>
      <c r="Y21" s="25"/>
      <c r="Z21" s="25"/>
      <c r="AA21" s="25"/>
      <c r="AB21" s="25"/>
      <c r="AC21" s="25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ht="15" customHeight="1" x14ac:dyDescent="0.15">
      <c r="A22" s="20">
        <f ca="1">IFERROR(__xludf.DUMMYFUNCTION("""COMPUTED_VALUE"""),46211.9139699074)</f>
        <v>46211.9139699074</v>
      </c>
      <c r="B22" s="21" t="str">
        <f ca="1">IFERROR(__xludf.DUMMYFUNCTION("""COMPUTED_VALUE"""),"mrd3fmrjqe6os21")</f>
        <v>mrd3fmrjqe6os21</v>
      </c>
      <c r="C22" s="21" t="str">
        <f ca="1">IFERROR(__xludf.DUMMYFUNCTION("""COMPUTED_VALUE"""),"রংপুর")</f>
        <v>রংপুর</v>
      </c>
      <c r="D22" s="21" t="str">
        <f ca="1">IFERROR(__xludf.DUMMYFUNCTION("""COMPUTED_VALUE"""),"রংপুর")</f>
        <v>রংপুর</v>
      </c>
      <c r="E22" s="21" t="str">
        <f ca="1">IFERROR(__xludf.DUMMYFUNCTION("""COMPUTED_VALUE"""),"কুড়িগ্রাম")</f>
        <v>কুড়িগ্রাম</v>
      </c>
      <c r="F22" s="21" t="str">
        <f ca="1">IFERROR(__xludf.DUMMYFUNCTION("""COMPUTED_VALUE"""),"চিলমারী")</f>
        <v>চিলমারী</v>
      </c>
      <c r="G22" s="21"/>
      <c r="H22" s="21"/>
      <c r="I22" s="21"/>
      <c r="J2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2" s="21"/>
      <c r="L22" s="21">
        <f ca="1">IFERROR(__xludf.DUMMYFUNCTION("""COMPUTED_VALUE"""),25.62145)</f>
        <v>25.621449999999999</v>
      </c>
      <c r="M22" s="21">
        <f ca="1">IFERROR(__xludf.DUMMYFUNCTION("""COMPUTED_VALUE"""),89.68412)</f>
        <v>89.684119999999993</v>
      </c>
      <c r="N22" s="22">
        <f ca="1">IFERROR(__xludf.DUMMYFUNCTION("""COMPUTED_VALUE"""),46160)</f>
        <v>46160</v>
      </c>
      <c r="O22" s="21" t="str">
        <f ca="1">IFERROR(__xludf.DUMMYFUNCTION("""COMPUTED_VALUE"""),"আম-ব্যানানা")</f>
        <v>আম-ব্যানানা</v>
      </c>
      <c r="P22" s="21" t="str">
        <f ca="1">IFERROR(__xludf.DUMMYFUNCTION("""COMPUTED_VALUE"""),"ফলদ")</f>
        <v>ফলদ</v>
      </c>
      <c r="Q22" s="21">
        <f ca="1">IFERROR(__xludf.DUMMYFUNCTION("""COMPUTED_VALUE"""),33)</f>
        <v>33</v>
      </c>
      <c r="R22" s="21"/>
      <c r="S22" s="21"/>
      <c r="T22" s="21"/>
      <c r="U22" s="21" t="str">
        <f ca="1">IFERROR(__xludf.DUMMYFUNCTION("""COMPUTED_VALUE"""),"মো: আতাউর রহমান")</f>
        <v>মো: আতাউর রহমান</v>
      </c>
      <c r="V22" s="21">
        <f ca="1">IFERROR(__xludf.DUMMYFUNCTION("""COMPUTED_VALUE"""),1715926481)</f>
        <v>1715926481</v>
      </c>
      <c r="W22" s="21" t="str">
        <f ca="1">IFERROR(__xludf.DUMMYFUNCTION("""COMPUTED_VALUE"""),"মোঃ রফিকুল ইসলাম")</f>
        <v>মোঃ রফিকুল ইসলাম</v>
      </c>
      <c r="X22" s="21">
        <f ca="1">IFERROR(__xludf.DUMMYFUNCTION("""COMPUTED_VALUE"""),1721345981)</f>
        <v>1721345981</v>
      </c>
      <c r="Y22" s="21"/>
      <c r="Z22" s="21"/>
      <c r="AA22" s="21"/>
      <c r="AB22" s="21"/>
      <c r="AC22" s="21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15" customHeight="1" x14ac:dyDescent="0.15">
      <c r="A23" s="24">
        <f ca="1">IFERROR(__xludf.DUMMYFUNCTION("""COMPUTED_VALUE"""),46211.9139467592)</f>
        <v>46211.913946759203</v>
      </c>
      <c r="B23" s="25" t="str">
        <f ca="1">IFERROR(__xludf.DUMMYFUNCTION("""COMPUTED_VALUE"""),"mrd3fmrjqe6os22")</f>
        <v>mrd3fmrjqe6os22</v>
      </c>
      <c r="C23" s="25" t="str">
        <f ca="1">IFERROR(__xludf.DUMMYFUNCTION("""COMPUTED_VALUE"""),"রংপুর")</f>
        <v>রংপুর</v>
      </c>
      <c r="D23" s="25" t="str">
        <f ca="1">IFERROR(__xludf.DUMMYFUNCTION("""COMPUTED_VALUE"""),"রংপুর")</f>
        <v>রংপুর</v>
      </c>
      <c r="E23" s="25" t="str">
        <f ca="1">IFERROR(__xludf.DUMMYFUNCTION("""COMPUTED_VALUE"""),"কুড়িগ্রাম")</f>
        <v>কুড়িগ্রাম</v>
      </c>
      <c r="F23" s="25" t="str">
        <f ca="1">IFERROR(__xludf.DUMMYFUNCTION("""COMPUTED_VALUE"""),"চিলমারী")</f>
        <v>চিলমারী</v>
      </c>
      <c r="G23" s="25"/>
      <c r="H23" s="25"/>
      <c r="I23" s="25"/>
      <c r="J2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3" s="25"/>
      <c r="L23" s="25">
        <f ca="1">IFERROR(__xludf.DUMMYFUNCTION("""COMPUTED_VALUE"""),25.59301)</f>
        <v>25.59301</v>
      </c>
      <c r="M23" s="25">
        <f ca="1">IFERROR(__xludf.DUMMYFUNCTION("""COMPUTED_VALUE"""),89.66147)</f>
        <v>89.661469999999994</v>
      </c>
      <c r="N23" s="26">
        <f ca="1">IFERROR(__xludf.DUMMYFUNCTION("""COMPUTED_VALUE"""),46161)</f>
        <v>46161</v>
      </c>
      <c r="O23" s="25" t="str">
        <f ca="1">IFERROR(__xludf.DUMMYFUNCTION("""COMPUTED_VALUE"""),"পেয়ারা থাই-৭")</f>
        <v>পেয়ারা থাই-৭</v>
      </c>
      <c r="P23" s="25" t="str">
        <f ca="1">IFERROR(__xludf.DUMMYFUNCTION("""COMPUTED_VALUE"""),"ফলদ")</f>
        <v>ফলদ</v>
      </c>
      <c r="Q23" s="25">
        <f ca="1">IFERROR(__xludf.DUMMYFUNCTION("""COMPUTED_VALUE"""),85)</f>
        <v>85</v>
      </c>
      <c r="R23" s="25"/>
      <c r="S23" s="25"/>
      <c r="T23" s="25"/>
      <c r="U23" s="25" t="str">
        <f ca="1">IFERROR(__xludf.DUMMYFUNCTION("""COMPUTED_VALUE"""),"মোছা: রহিমা খাতুন")</f>
        <v>মোছা: রহিমা খাতুন</v>
      </c>
      <c r="V23" s="25">
        <f ca="1">IFERROR(__xludf.DUMMYFUNCTION("""COMPUTED_VALUE"""),1741258963)</f>
        <v>1741258963</v>
      </c>
      <c r="W23" s="25" t="str">
        <f ca="1">IFERROR(__xludf.DUMMYFUNCTION("""COMPUTED_VALUE"""),"মোঃ রফিকুল ইসলাম")</f>
        <v>মোঃ রফিকুল ইসলাম</v>
      </c>
      <c r="X23" s="25">
        <f ca="1">IFERROR(__xludf.DUMMYFUNCTION("""COMPUTED_VALUE"""),1721345981)</f>
        <v>1721345981</v>
      </c>
      <c r="Y23" s="25"/>
      <c r="Z23" s="25"/>
      <c r="AA23" s="25"/>
      <c r="AB23" s="25"/>
      <c r="AC23" s="25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ht="15" customHeight="1" x14ac:dyDescent="0.15">
      <c r="A24" s="20">
        <f ca="1">IFERROR(__xludf.DUMMYFUNCTION("""COMPUTED_VALUE"""),46212.9139583333)</f>
        <v>46212.913958333302</v>
      </c>
      <c r="B24" s="21" t="str">
        <f ca="1">IFERROR(__xludf.DUMMYFUNCTION("""COMPUTED_VALUE"""),"mrd3fmrjqe6os23")</f>
        <v>mrd3fmrjqe6os23</v>
      </c>
      <c r="C24" s="21" t="str">
        <f ca="1">IFERROR(__xludf.DUMMYFUNCTION("""COMPUTED_VALUE"""),"রংপুর")</f>
        <v>রংপুর</v>
      </c>
      <c r="D24" s="21" t="str">
        <f ca="1">IFERROR(__xludf.DUMMYFUNCTION("""COMPUTED_VALUE"""),"রংপুর")</f>
        <v>রংপুর</v>
      </c>
      <c r="E24" s="21" t="str">
        <f ca="1">IFERROR(__xludf.DUMMYFUNCTION("""COMPUTED_VALUE"""),"কুড়িগ্রাম")</f>
        <v>কুড়িগ্রাম</v>
      </c>
      <c r="F24" s="21" t="str">
        <f ca="1">IFERROR(__xludf.DUMMYFUNCTION("""COMPUTED_VALUE"""),"চিলমারী")</f>
        <v>চিলমারী</v>
      </c>
      <c r="G24" s="21"/>
      <c r="H24" s="21"/>
      <c r="I24" s="21"/>
      <c r="J2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4" s="21"/>
      <c r="L24" s="21">
        <f ca="1">IFERROR(__xludf.DUMMYFUNCTION("""COMPUTED_VALUE"""),25.6112)</f>
        <v>25.6112</v>
      </c>
      <c r="M24" s="21">
        <f ca="1">IFERROR(__xludf.DUMMYFUNCTION("""COMPUTED_VALUE"""),89.6953)</f>
        <v>89.695300000000003</v>
      </c>
      <c r="N24" s="22">
        <f ca="1">IFERROR(__xludf.DUMMYFUNCTION("""COMPUTED_VALUE"""),46162)</f>
        <v>46162</v>
      </c>
      <c r="O24" s="21" t="str">
        <f ca="1">IFERROR(__xludf.DUMMYFUNCTION("""COMPUTED_VALUE"""),"মাল্টা বারি-১")</f>
        <v>মাল্টা বারি-১</v>
      </c>
      <c r="P24" s="21" t="str">
        <f ca="1">IFERROR(__xludf.DUMMYFUNCTION("""COMPUTED_VALUE"""),"ফলদ")</f>
        <v>ফলদ</v>
      </c>
      <c r="Q24" s="21">
        <f ca="1">IFERROR(__xludf.DUMMYFUNCTION("""COMPUTED_VALUE"""),60)</f>
        <v>60</v>
      </c>
      <c r="R24" s="21"/>
      <c r="S24" s="21"/>
      <c r="T24" s="21"/>
      <c r="U24" s="21" t="str">
        <f ca="1">IFERROR(__xludf.DUMMYFUNCTION("""COMPUTED_VALUE"""),"মো: মফিজুল হক")</f>
        <v>মো: মফিজুল হক</v>
      </c>
      <c r="V24" s="21">
        <f ca="1">IFERROR(__xludf.DUMMYFUNCTION("""COMPUTED_VALUE"""),1718239451)</f>
        <v>1718239451</v>
      </c>
      <c r="W24" s="21" t="str">
        <f ca="1">IFERROR(__xludf.DUMMYFUNCTION("""COMPUTED_VALUE"""),"মোঃ রফিকুল ইসলাম")</f>
        <v>মোঃ রফিকুল ইসলাম</v>
      </c>
      <c r="X24" s="21">
        <f ca="1">IFERROR(__xludf.DUMMYFUNCTION("""COMPUTED_VALUE"""),1721345981)</f>
        <v>1721345981</v>
      </c>
      <c r="Y24" s="21"/>
      <c r="Z24" s="21"/>
      <c r="AA24" s="21"/>
      <c r="AB24" s="21"/>
      <c r="AC24" s="21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15" customHeight="1" x14ac:dyDescent="0.15">
      <c r="A25" s="24">
        <f ca="1">IFERROR(__xludf.DUMMYFUNCTION("""COMPUTED_VALUE"""),46211.9139699074)</f>
        <v>46211.9139699074</v>
      </c>
      <c r="B25" s="25" t="str">
        <f ca="1">IFERROR(__xludf.DUMMYFUNCTION("""COMPUTED_VALUE"""),"mrd3fmrjqe6os24")</f>
        <v>mrd3fmrjqe6os24</v>
      </c>
      <c r="C25" s="25" t="str">
        <f ca="1">IFERROR(__xludf.DUMMYFUNCTION("""COMPUTED_VALUE"""),"রংপুর")</f>
        <v>রংপুর</v>
      </c>
      <c r="D25" s="25" t="str">
        <f ca="1">IFERROR(__xludf.DUMMYFUNCTION("""COMPUTED_VALUE"""),"রংপুর")</f>
        <v>রংপুর</v>
      </c>
      <c r="E25" s="25" t="str">
        <f ca="1">IFERROR(__xludf.DUMMYFUNCTION("""COMPUTED_VALUE"""),"কুড়িগ্রাম")</f>
        <v>কুড়িগ্রাম</v>
      </c>
      <c r="F25" s="25" t="str">
        <f ca="1">IFERROR(__xludf.DUMMYFUNCTION("""COMPUTED_VALUE"""),"চিলমারী")</f>
        <v>চিলমারী</v>
      </c>
      <c r="G25" s="25"/>
      <c r="H25" s="25"/>
      <c r="I25" s="25"/>
      <c r="J2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5" s="25"/>
      <c r="L25" s="25">
        <f ca="1">IFERROR(__xludf.DUMMYFUNCTION("""COMPUTED_VALUE"""),25.6045)</f>
        <v>25.604500000000002</v>
      </c>
      <c r="M25" s="25">
        <f ca="1">IFERROR(__xludf.DUMMYFUNCTION("""COMPUTED_VALUE"""),89.6712)</f>
        <v>89.671199999999999</v>
      </c>
      <c r="N25" s="26">
        <f ca="1">IFERROR(__xludf.DUMMYFUNCTION("""COMPUTED_VALUE"""),46164)</f>
        <v>46164</v>
      </c>
      <c r="O25" s="25" t="str">
        <f ca="1">IFERROR(__xludf.DUMMYFUNCTION("""COMPUTED_VALUE"""),"লেবু সিডরেস")</f>
        <v>লেবু সিডরেস</v>
      </c>
      <c r="P25" s="25" t="str">
        <f ca="1">IFERROR(__xludf.DUMMYFUNCTION("""COMPUTED_VALUE"""),"ফলদ")</f>
        <v>ফলদ</v>
      </c>
      <c r="Q25" s="25">
        <f ca="1">IFERROR(__xludf.DUMMYFUNCTION("""COMPUTED_VALUE"""),220)</f>
        <v>220</v>
      </c>
      <c r="R25" s="25"/>
      <c r="S25" s="25"/>
      <c r="T25" s="25"/>
      <c r="U25" s="25" t="str">
        <f ca="1">IFERROR(__xludf.DUMMYFUNCTION("""COMPUTED_VALUE"""),"মো: শফিকুল আলম")</f>
        <v>মো: শফিকুল আলম</v>
      </c>
      <c r="V25" s="25">
        <f ca="1">IFERROR(__xludf.DUMMYFUNCTION("""COMPUTED_VALUE"""),1729481235)</f>
        <v>1729481235</v>
      </c>
      <c r="W25" s="25" t="str">
        <f ca="1">IFERROR(__xludf.DUMMYFUNCTION("""COMPUTED_VALUE"""),"মোঃ রফিকুল ইসলাম")</f>
        <v>মোঃ রফিকুল ইসলাম</v>
      </c>
      <c r="X25" s="25">
        <f ca="1">IFERROR(__xludf.DUMMYFUNCTION("""COMPUTED_VALUE"""),1721345981)</f>
        <v>1721345981</v>
      </c>
      <c r="Y25" s="25"/>
      <c r="Z25" s="25"/>
      <c r="AA25" s="25"/>
      <c r="AB25" s="25"/>
      <c r="AC25" s="25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ht="15" customHeight="1" x14ac:dyDescent="0.15">
      <c r="A26" s="20">
        <f ca="1">IFERROR(__xludf.DUMMYFUNCTION("""COMPUTED_VALUE"""),46211.9139467592)</f>
        <v>46211.913946759203</v>
      </c>
      <c r="B26" s="21" t="str">
        <f ca="1">IFERROR(__xludf.DUMMYFUNCTION("""COMPUTED_VALUE"""),"mrd3fmrjqe6os25")</f>
        <v>mrd3fmrjqe6os25</v>
      </c>
      <c r="C26" s="21" t="str">
        <f ca="1">IFERROR(__xludf.DUMMYFUNCTION("""COMPUTED_VALUE"""),"রংপুর")</f>
        <v>রংপুর</v>
      </c>
      <c r="D26" s="21" t="str">
        <f ca="1">IFERROR(__xludf.DUMMYFUNCTION("""COMPUTED_VALUE"""),"রংপুর")</f>
        <v>রংপুর</v>
      </c>
      <c r="E26" s="21" t="str">
        <f ca="1">IFERROR(__xludf.DUMMYFUNCTION("""COMPUTED_VALUE"""),"কুড়িগ্রাম")</f>
        <v>কুড়িগ্রাম</v>
      </c>
      <c r="F26" s="21" t="str">
        <f ca="1">IFERROR(__xludf.DUMMYFUNCTION("""COMPUTED_VALUE"""),"নাগেশ্বরী")</f>
        <v>নাগেশ্বরী</v>
      </c>
      <c r="G26" s="21"/>
      <c r="H26" s="21"/>
      <c r="I26" s="21"/>
      <c r="J2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6" s="21"/>
      <c r="L26" s="21">
        <f ca="1">IFERROR(__xludf.DUMMYFUNCTION("""COMPUTED_VALUE"""),25.98142)</f>
        <v>25.98142</v>
      </c>
      <c r="M26" s="21">
        <f ca="1">IFERROR(__xludf.DUMMYFUNCTION("""COMPUTED_VALUE"""),89.65214)</f>
        <v>89.652140000000003</v>
      </c>
      <c r="N26" s="22">
        <f ca="1">IFERROR(__xludf.DUMMYFUNCTION("""COMPUTED_VALUE"""),46167)</f>
        <v>46167</v>
      </c>
      <c r="O26" s="21" t="str">
        <f ca="1">IFERROR(__xludf.DUMMYFUNCTION("""COMPUTED_VALUE"""),"আম (হাড়িভাঙ্গা)")</f>
        <v>আম (হাড়িভাঙ্গা)</v>
      </c>
      <c r="P26" s="21" t="str">
        <f ca="1">IFERROR(__xludf.DUMMYFUNCTION("""COMPUTED_VALUE"""),"ফলদ")</f>
        <v>ফলদ</v>
      </c>
      <c r="Q26" s="21">
        <f ca="1">IFERROR(__xludf.DUMMYFUNCTION("""COMPUTED_VALUE"""),33)</f>
        <v>33</v>
      </c>
      <c r="R26" s="21"/>
      <c r="S26" s="21"/>
      <c r="T26" s="21"/>
      <c r="U26" s="21" t="str">
        <f ca="1">IFERROR(__xludf.DUMMYFUNCTION("""COMPUTED_VALUE"""),"মো: জয়নাল আবেদীন")</f>
        <v>মো: জয়নাল আবেদীন</v>
      </c>
      <c r="V26" s="21">
        <f ca="1">IFERROR(__xludf.DUMMYFUNCTION("""COMPUTED_VALUE"""),1711234567)</f>
        <v>1711234567</v>
      </c>
      <c r="W26" s="21" t="str">
        <f ca="1">IFERROR(__xludf.DUMMYFUNCTION("""COMPUTED_VALUE"""),"মোঃ মোস্তফা কামাল")</f>
        <v>মোঃ মোস্তফা কামাল</v>
      </c>
      <c r="X26" s="21">
        <f ca="1">IFERROR(__xludf.DUMMYFUNCTION("""COMPUTED_VALUE"""),1712345678)</f>
        <v>1712345678</v>
      </c>
      <c r="Y26" s="21"/>
      <c r="Z26" s="21"/>
      <c r="AA26" s="21"/>
      <c r="AB26" s="21"/>
      <c r="AC26" s="21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15" customHeight="1" x14ac:dyDescent="0.15">
      <c r="A27" s="24">
        <f ca="1">IFERROR(__xludf.DUMMYFUNCTION("""COMPUTED_VALUE"""),46212.9139583333)</f>
        <v>46212.913958333302</v>
      </c>
      <c r="B27" s="25" t="str">
        <f ca="1">IFERROR(__xludf.DUMMYFUNCTION("""COMPUTED_VALUE"""),"mrd3fmrjqe6os26")</f>
        <v>mrd3fmrjqe6os26</v>
      </c>
      <c r="C27" s="25" t="str">
        <f ca="1">IFERROR(__xludf.DUMMYFUNCTION("""COMPUTED_VALUE"""),"রংপুর")</f>
        <v>রংপুর</v>
      </c>
      <c r="D27" s="25" t="str">
        <f ca="1">IFERROR(__xludf.DUMMYFUNCTION("""COMPUTED_VALUE"""),"রংপুর")</f>
        <v>রংপুর</v>
      </c>
      <c r="E27" s="25" t="str">
        <f ca="1">IFERROR(__xludf.DUMMYFUNCTION("""COMPUTED_VALUE"""),"কুড়িগ্রাম")</f>
        <v>কুড়িগ্রাম</v>
      </c>
      <c r="F27" s="25" t="str">
        <f ca="1">IFERROR(__xludf.DUMMYFUNCTION("""COMPUTED_VALUE"""),"নাগেশ্বরী")</f>
        <v>নাগেশ্বরী</v>
      </c>
      <c r="G27" s="25"/>
      <c r="H27" s="25"/>
      <c r="I27" s="25"/>
      <c r="J2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7" s="25"/>
      <c r="L27" s="25">
        <f ca="1">IFERROR(__xludf.DUMMYFUNCTION("""COMPUTED_VALUE"""),25.96411)</f>
        <v>25.964110000000002</v>
      </c>
      <c r="M27" s="25">
        <f ca="1">IFERROR(__xludf.DUMMYFUNCTION("""COMPUTED_VALUE"""),89.63102)</f>
        <v>89.631020000000007</v>
      </c>
      <c r="N27" s="26">
        <f ca="1">IFERROR(__xludf.DUMMYFUNCTION("""COMPUTED_VALUE"""),46168)</f>
        <v>46168</v>
      </c>
      <c r="O27" s="25" t="str">
        <f ca="1">IFERROR(__xludf.DUMMYFUNCTION("""COMPUTED_VALUE"""),"পেয়ারা গোল্ডেন-৮")</f>
        <v>পেয়ারা গোল্ডেন-৮</v>
      </c>
      <c r="P27" s="25" t="str">
        <f ca="1">IFERROR(__xludf.DUMMYFUNCTION("""COMPUTED_VALUE"""),"ফলদ")</f>
        <v>ফলদ</v>
      </c>
      <c r="Q27" s="25">
        <f ca="1">IFERROR(__xludf.DUMMYFUNCTION("""COMPUTED_VALUE"""),85)</f>
        <v>85</v>
      </c>
      <c r="R27" s="25"/>
      <c r="S27" s="25"/>
      <c r="T27" s="25"/>
      <c r="U27" s="25" t="str">
        <f ca="1">IFERROR(__xludf.DUMMYFUNCTION("""COMPUTED_VALUE"""),"মোছা: মর্জিনা বেগম")</f>
        <v>মোছা: মর্জিনা বেগম</v>
      </c>
      <c r="V27" s="25">
        <f ca="1">IFERROR(__xludf.DUMMYFUNCTION("""COMPUTED_VALUE"""),1715487213)</f>
        <v>1715487213</v>
      </c>
      <c r="W27" s="25" t="str">
        <f ca="1">IFERROR(__xludf.DUMMYFUNCTION("""COMPUTED_VALUE"""),"মোঃ মোস্তফা কামাল")</f>
        <v>মোঃ মোস্তফা কামাল</v>
      </c>
      <c r="X27" s="25">
        <f ca="1">IFERROR(__xludf.DUMMYFUNCTION("""COMPUTED_VALUE"""),1712345678)</f>
        <v>1712345678</v>
      </c>
      <c r="Y27" s="25"/>
      <c r="Z27" s="25"/>
      <c r="AA27" s="25"/>
      <c r="AB27" s="25"/>
      <c r="AC27" s="25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ht="15" customHeight="1" x14ac:dyDescent="0.15">
      <c r="A28" s="20">
        <f ca="1">IFERROR(__xludf.DUMMYFUNCTION("""COMPUTED_VALUE"""),46211.9139699074)</f>
        <v>46211.9139699074</v>
      </c>
      <c r="B28" s="21" t="str">
        <f ca="1">IFERROR(__xludf.DUMMYFUNCTION("""COMPUTED_VALUE"""),"mrd3fmrjqe6os27")</f>
        <v>mrd3fmrjqe6os27</v>
      </c>
      <c r="C28" s="21" t="str">
        <f ca="1">IFERROR(__xludf.DUMMYFUNCTION("""COMPUTED_VALUE"""),"রংপুর")</f>
        <v>রংপুর</v>
      </c>
      <c r="D28" s="21" t="str">
        <f ca="1">IFERROR(__xludf.DUMMYFUNCTION("""COMPUTED_VALUE"""),"রংপুর")</f>
        <v>রংপুর</v>
      </c>
      <c r="E28" s="21" t="str">
        <f ca="1">IFERROR(__xludf.DUMMYFUNCTION("""COMPUTED_VALUE"""),"কুড়িগ্রাম")</f>
        <v>কুড়িগ্রাম</v>
      </c>
      <c r="F28" s="21" t="str">
        <f ca="1">IFERROR(__xludf.DUMMYFUNCTION("""COMPUTED_VALUE"""),"নাগেশ্বরী")</f>
        <v>নাগেশ্বরী</v>
      </c>
      <c r="G28" s="21"/>
      <c r="H28" s="21"/>
      <c r="I28" s="21"/>
      <c r="J2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8" s="21"/>
      <c r="L28" s="21">
        <f ca="1">IFERROR(__xludf.DUMMYFUNCTION("""COMPUTED_VALUE"""),25.9923)</f>
        <v>25.9923</v>
      </c>
      <c r="M28" s="21">
        <f ca="1">IFERROR(__xludf.DUMMYFUNCTION("""COMPUTED_VALUE"""),89.67451)</f>
        <v>89.674509999999998</v>
      </c>
      <c r="N28" s="22">
        <f ca="1">IFERROR(__xludf.DUMMYFUNCTION("""COMPUTED_VALUE"""),46170)</f>
        <v>46170</v>
      </c>
      <c r="O28" s="21" t="str">
        <f ca="1">IFERROR(__xludf.DUMMYFUNCTION("""COMPUTED_VALUE"""),"বারি মাল্টা-১")</f>
        <v>বারি মাল্টা-১</v>
      </c>
      <c r="P28" s="21" t="str">
        <f ca="1">IFERROR(__xludf.DUMMYFUNCTION("""COMPUTED_VALUE"""),"ফলদ")</f>
        <v>ফলদ</v>
      </c>
      <c r="Q28" s="21">
        <f ca="1">IFERROR(__xludf.DUMMYFUNCTION("""COMPUTED_VALUE"""),60)</f>
        <v>60</v>
      </c>
      <c r="R28" s="21"/>
      <c r="S28" s="21"/>
      <c r="T28" s="21"/>
      <c r="U28" s="21" t="str">
        <f ca="1">IFERROR(__xludf.DUMMYFUNCTION("""COMPUTED_VALUE"""),"মো: একরামুল হক")</f>
        <v>মো: একরামুল হক</v>
      </c>
      <c r="V28" s="21">
        <f ca="1">IFERROR(__xludf.DUMMYFUNCTION("""COMPUTED_VALUE"""),1718942351)</f>
        <v>1718942351</v>
      </c>
      <c r="W28" s="21" t="str">
        <f ca="1">IFERROR(__xludf.DUMMYFUNCTION("""COMPUTED_VALUE"""),"মোঃ মোস্তফা কামাল")</f>
        <v>মোঃ মোস্তফা কামাল</v>
      </c>
      <c r="X28" s="21">
        <f ca="1">IFERROR(__xludf.DUMMYFUNCTION("""COMPUTED_VALUE"""),1712345678)</f>
        <v>1712345678</v>
      </c>
      <c r="Y28" s="21"/>
      <c r="Z28" s="21"/>
      <c r="AA28" s="21"/>
      <c r="AB28" s="21"/>
      <c r="AC28" s="21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15" customHeight="1" x14ac:dyDescent="0.15">
      <c r="A29" s="24">
        <f ca="1">IFERROR(__xludf.DUMMYFUNCTION("""COMPUTED_VALUE"""),46211.9139467592)</f>
        <v>46211.913946759203</v>
      </c>
      <c r="B29" s="25" t="str">
        <f ca="1">IFERROR(__xludf.DUMMYFUNCTION("""COMPUTED_VALUE"""),"mrd3fmrjqe6os28")</f>
        <v>mrd3fmrjqe6os28</v>
      </c>
      <c r="C29" s="25" t="str">
        <f ca="1">IFERROR(__xludf.DUMMYFUNCTION("""COMPUTED_VALUE"""),"রংপুর")</f>
        <v>রংপুর</v>
      </c>
      <c r="D29" s="25" t="str">
        <f ca="1">IFERROR(__xludf.DUMMYFUNCTION("""COMPUTED_VALUE"""),"রংপুর")</f>
        <v>রংপুর</v>
      </c>
      <c r="E29" s="25" t="str">
        <f ca="1">IFERROR(__xludf.DUMMYFUNCTION("""COMPUTED_VALUE"""),"কুড়িগ্রাম")</f>
        <v>কুড়িগ্রাম</v>
      </c>
      <c r="F29" s="25" t="str">
        <f ca="1">IFERROR(__xludf.DUMMYFUNCTION("""COMPUTED_VALUE"""),"নাগেশ্বরী")</f>
        <v>নাগেশ্বরী</v>
      </c>
      <c r="G29" s="25"/>
      <c r="H29" s="25"/>
      <c r="I29" s="25"/>
      <c r="J2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9" s="25"/>
      <c r="L29" s="25">
        <f ca="1">IFERROR(__xludf.DUMMYFUNCTION("""COMPUTED_VALUE"""),25.9715)</f>
        <v>25.971499999999999</v>
      </c>
      <c r="M29" s="25">
        <f ca="1">IFERROR(__xludf.DUMMYFUNCTION("""COMPUTED_VALUE"""),89.6412)</f>
        <v>89.641199999999998</v>
      </c>
      <c r="N29" s="26">
        <f ca="1">IFERROR(__xludf.DUMMYFUNCTION("""COMPUTED_VALUE"""),46172)</f>
        <v>46172</v>
      </c>
      <c r="O29" s="25" t="str">
        <f ca="1">IFERROR(__xludf.DUMMYFUNCTION("""COMPUTED_VALUE"""),"লেবু সিডলেস")</f>
        <v>লেবু সিডলেস</v>
      </c>
      <c r="P29" s="25" t="str">
        <f ca="1">IFERROR(__xludf.DUMMYFUNCTION("""COMPUTED_VALUE"""),"ফলদ")</f>
        <v>ফলদ</v>
      </c>
      <c r="Q29" s="25">
        <f ca="1">IFERROR(__xludf.DUMMYFUNCTION("""COMPUTED_VALUE"""),220)</f>
        <v>220</v>
      </c>
      <c r="R29" s="25"/>
      <c r="S29" s="25"/>
      <c r="T29" s="25"/>
      <c r="U29" s="25" t="str">
        <f ca="1">IFERROR(__xludf.DUMMYFUNCTION("""COMPUTED_VALUE"""),"মো: লুৎফর রহমান")</f>
        <v>মো: লুৎফর রহমান</v>
      </c>
      <c r="V29" s="25">
        <f ca="1">IFERROR(__xludf.DUMMYFUNCTION("""COMPUTED_VALUE"""),1722369851)</f>
        <v>1722369851</v>
      </c>
      <c r="W29" s="25" t="str">
        <f ca="1">IFERROR(__xludf.DUMMYFUNCTION("""COMPUTED_VALUE"""),"মোঃ মোস্তফা কামাল")</f>
        <v>মোঃ মোস্তফা কামাল</v>
      </c>
      <c r="X29" s="25">
        <f ca="1">IFERROR(__xludf.DUMMYFUNCTION("""COMPUTED_VALUE"""),1712345678)</f>
        <v>1712345678</v>
      </c>
      <c r="Y29" s="25"/>
      <c r="Z29" s="25"/>
      <c r="AA29" s="25"/>
      <c r="AB29" s="25"/>
      <c r="AC29" s="25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ht="15" customHeight="1" x14ac:dyDescent="0.15">
      <c r="A30" s="20">
        <f ca="1">IFERROR(__xludf.DUMMYFUNCTION("""COMPUTED_VALUE"""),46212.9139583333)</f>
        <v>46212.913958333302</v>
      </c>
      <c r="B30" s="21" t="str">
        <f ca="1">IFERROR(__xludf.DUMMYFUNCTION("""COMPUTED_VALUE"""),"mrd3fmrjqe6os29")</f>
        <v>mrd3fmrjqe6os29</v>
      </c>
      <c r="C30" s="21" t="str">
        <f ca="1">IFERROR(__xludf.DUMMYFUNCTION("""COMPUTED_VALUE"""),"রংপুর")</f>
        <v>রংপুর</v>
      </c>
      <c r="D30" s="21" t="str">
        <f ca="1">IFERROR(__xludf.DUMMYFUNCTION("""COMPUTED_VALUE"""),"রংপুর")</f>
        <v>রংপুর</v>
      </c>
      <c r="E30" s="21" t="str">
        <f ca="1">IFERROR(__xludf.DUMMYFUNCTION("""COMPUTED_VALUE"""),"কুড়িগ্রাম")</f>
        <v>কুড়িগ্রাম</v>
      </c>
      <c r="F30" s="21" t="str">
        <f ca="1">IFERROR(__xludf.DUMMYFUNCTION("""COMPUTED_VALUE"""),"ফুলবাড়ী")</f>
        <v>ফুলবাড়ী</v>
      </c>
      <c r="G30" s="21"/>
      <c r="H30" s="21"/>
      <c r="I30" s="21"/>
      <c r="J3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0" s="21"/>
      <c r="L30" s="21">
        <f ca="1">IFERROR(__xludf.DUMMYFUNCTION("""COMPUTED_VALUE"""),25.9412)</f>
        <v>25.941199999999998</v>
      </c>
      <c r="M30" s="21">
        <f ca="1">IFERROR(__xludf.DUMMYFUNCTION("""COMPUTED_VALUE"""),89.5214)</f>
        <v>89.5214</v>
      </c>
      <c r="N30" s="22">
        <f ca="1">IFERROR(__xludf.DUMMYFUNCTION("""COMPUTED_VALUE"""),46174)</f>
        <v>46174</v>
      </c>
      <c r="O30" s="21" t="str">
        <f ca="1">IFERROR(__xludf.DUMMYFUNCTION("""COMPUTED_VALUE"""),"আম-ব্যানানা")</f>
        <v>আম-ব্যানানা</v>
      </c>
      <c r="P30" s="21" t="str">
        <f ca="1">IFERROR(__xludf.DUMMYFUNCTION("""COMPUTED_VALUE"""),"ফলদ")</f>
        <v>ফলদ</v>
      </c>
      <c r="Q30" s="21">
        <f ca="1">IFERROR(__xludf.DUMMYFUNCTION("""COMPUTED_VALUE"""),33)</f>
        <v>33</v>
      </c>
      <c r="R30" s="21"/>
      <c r="S30" s="21"/>
      <c r="T30" s="21"/>
      <c r="U30" s="21" t="str">
        <f ca="1">IFERROR(__xludf.DUMMYFUNCTION("""COMPUTED_VALUE"""),"মো: হামিদুল হক")</f>
        <v>মো: হামিদুল হক</v>
      </c>
      <c r="V30" s="21">
        <f ca="1">IFERROR(__xludf.DUMMYFUNCTION("""COMPUTED_VALUE"""),1714239581)</f>
        <v>1714239581</v>
      </c>
      <c r="W30" s="21" t="str">
        <f ca="1">IFERROR(__xludf.DUMMYFUNCTION("""COMPUTED_VALUE"""),"মোঃ আনিসুর রহমান")</f>
        <v>মোঃ আনিসুর রহমান</v>
      </c>
      <c r="X30" s="21">
        <f ca="1">IFERROR(__xludf.DUMMYFUNCTION("""COMPUTED_VALUE"""),1716253412)</f>
        <v>1716253412</v>
      </c>
      <c r="Y30" s="21"/>
      <c r="Z30" s="21"/>
      <c r="AA30" s="21"/>
      <c r="AB30" s="21"/>
      <c r="AC30" s="21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15" customHeight="1" x14ac:dyDescent="0.15">
      <c r="A31" s="24">
        <f ca="1">IFERROR(__xludf.DUMMYFUNCTION("""COMPUTED_VALUE"""),46211.9139699074)</f>
        <v>46211.9139699074</v>
      </c>
      <c r="B31" s="25" t="str">
        <f ca="1">IFERROR(__xludf.DUMMYFUNCTION("""COMPUTED_VALUE"""),"mrd3fmrjqe6os30")</f>
        <v>mrd3fmrjqe6os30</v>
      </c>
      <c r="C31" s="25" t="str">
        <f ca="1">IFERROR(__xludf.DUMMYFUNCTION("""COMPUTED_VALUE"""),"রংপুর")</f>
        <v>রংপুর</v>
      </c>
      <c r="D31" s="25" t="str">
        <f ca="1">IFERROR(__xludf.DUMMYFUNCTION("""COMPUTED_VALUE"""),"রংপুর")</f>
        <v>রংপুর</v>
      </c>
      <c r="E31" s="25" t="str">
        <f ca="1">IFERROR(__xludf.DUMMYFUNCTION("""COMPUTED_VALUE"""),"কুড়িগ্রাম")</f>
        <v>কুড়িগ্রাম</v>
      </c>
      <c r="F31" s="25" t="str">
        <f ca="1">IFERROR(__xludf.DUMMYFUNCTION("""COMPUTED_VALUE"""),"ফুলবাড়ী")</f>
        <v>ফুলবাড়ী</v>
      </c>
      <c r="G31" s="25"/>
      <c r="H31" s="25"/>
      <c r="I31" s="25"/>
      <c r="J3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1" s="25"/>
      <c r="L31" s="25">
        <f ca="1">IFERROR(__xludf.DUMMYFUNCTION("""COMPUTED_VALUE"""),25.9231)</f>
        <v>25.923100000000002</v>
      </c>
      <c r="M31" s="25">
        <f ca="1">IFERROR(__xludf.DUMMYFUNCTION("""COMPUTED_VALUE"""),89.5041)</f>
        <v>89.504099999999994</v>
      </c>
      <c r="N31" s="26">
        <f ca="1">IFERROR(__xludf.DUMMYFUNCTION("""COMPUTED_VALUE"""),46175)</f>
        <v>46175</v>
      </c>
      <c r="O31" s="25" t="str">
        <f ca="1">IFERROR(__xludf.DUMMYFUNCTION("""COMPUTED_VALUE"""),"থাই পেয়ারা")</f>
        <v>থাই পেয়ারা</v>
      </c>
      <c r="P31" s="25" t="str">
        <f ca="1">IFERROR(__xludf.DUMMYFUNCTION("""COMPUTED_VALUE"""),"ফলদ")</f>
        <v>ফলদ</v>
      </c>
      <c r="Q31" s="25">
        <f ca="1">IFERROR(__xludf.DUMMYFUNCTION("""COMPUTED_VALUE"""),85)</f>
        <v>85</v>
      </c>
      <c r="R31" s="25"/>
      <c r="S31" s="25"/>
      <c r="T31" s="25"/>
      <c r="U31" s="25" t="str">
        <f ca="1">IFERROR(__xludf.DUMMYFUNCTION("""COMPUTED_VALUE"""),"মোছা: শিল্পি আক্তার")</f>
        <v>মোছা: শিল্পি আক্তার</v>
      </c>
      <c r="V31" s="25">
        <f ca="1">IFERROR(__xludf.DUMMYFUNCTION("""COMPUTED_VALUE"""),1719548231)</f>
        <v>1719548231</v>
      </c>
      <c r="W31" s="25" t="str">
        <f ca="1">IFERROR(__xludf.DUMMYFUNCTION("""COMPUTED_VALUE"""),"মোঃ আনিসুর রহমান")</f>
        <v>মোঃ আনিসুর রহমান</v>
      </c>
      <c r="X31" s="25">
        <f ca="1">IFERROR(__xludf.DUMMYFUNCTION("""COMPUTED_VALUE"""),1716253412)</f>
        <v>1716253412</v>
      </c>
      <c r="Y31" s="25"/>
      <c r="Z31" s="25"/>
      <c r="AA31" s="25"/>
      <c r="AB31" s="25"/>
      <c r="AC31" s="25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ht="15" customHeight="1" x14ac:dyDescent="0.15">
      <c r="A32" s="20">
        <f ca="1">IFERROR(__xludf.DUMMYFUNCTION("""COMPUTED_VALUE"""),46211.9139467592)</f>
        <v>46211.913946759203</v>
      </c>
      <c r="B32" s="21" t="str">
        <f ca="1">IFERROR(__xludf.DUMMYFUNCTION("""COMPUTED_VALUE"""),"mrd3fmrjqe6os31")</f>
        <v>mrd3fmrjqe6os31</v>
      </c>
      <c r="C32" s="21" t="str">
        <f ca="1">IFERROR(__xludf.DUMMYFUNCTION("""COMPUTED_VALUE"""),"রংপুর")</f>
        <v>রংপুর</v>
      </c>
      <c r="D32" s="21" t="str">
        <f ca="1">IFERROR(__xludf.DUMMYFUNCTION("""COMPUTED_VALUE"""),"রংপুর")</f>
        <v>রংপুর</v>
      </c>
      <c r="E32" s="21" t="str">
        <f ca="1">IFERROR(__xludf.DUMMYFUNCTION("""COMPUTED_VALUE"""),"কুড়িগ্রাম")</f>
        <v>কুড়িগ্রাম</v>
      </c>
      <c r="F32" s="21" t="str">
        <f ca="1">IFERROR(__xludf.DUMMYFUNCTION("""COMPUTED_VALUE"""),"ফুলবাড়ী")</f>
        <v>ফুলবাড়ী</v>
      </c>
      <c r="G32" s="21"/>
      <c r="H32" s="21"/>
      <c r="I32" s="21"/>
      <c r="J3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2" s="21"/>
      <c r="L32" s="21">
        <f ca="1">IFERROR(__xludf.DUMMYFUNCTION("""COMPUTED_VALUE"""),25.9524)</f>
        <v>25.952400000000001</v>
      </c>
      <c r="M32" s="21">
        <f ca="1">IFERROR(__xludf.DUMMYFUNCTION("""COMPUTED_VALUE"""),89.5412)</f>
        <v>89.541200000000003</v>
      </c>
      <c r="N32" s="22">
        <f ca="1">IFERROR(__xludf.DUMMYFUNCTION("""COMPUTED_VALUE"""),46177)</f>
        <v>46177</v>
      </c>
      <c r="O32" s="21" t="str">
        <f ca="1">IFERROR(__xludf.DUMMYFUNCTION("""COMPUTED_VALUE"""),"মাল্টা বারি-১")</f>
        <v>মাল্টা বারি-১</v>
      </c>
      <c r="P32" s="21" t="str">
        <f ca="1">IFERROR(__xludf.DUMMYFUNCTION("""COMPUTED_VALUE"""),"ফলদ")</f>
        <v>ফলদ</v>
      </c>
      <c r="Q32" s="21">
        <f ca="1">IFERROR(__xludf.DUMMYFUNCTION("""COMPUTED_VALUE"""),60)</f>
        <v>60</v>
      </c>
      <c r="R32" s="21"/>
      <c r="S32" s="21"/>
      <c r="T32" s="21"/>
      <c r="U32" s="21" t="str">
        <f ca="1">IFERROR(__xludf.DUMMYFUNCTION("""COMPUTED_VALUE"""),"মো: আশরাফুল ইসলাম")</f>
        <v>মো: আশরাফুল ইসলাম</v>
      </c>
      <c r="V32" s="21">
        <f ca="1">IFERROR(__xludf.DUMMYFUNCTION("""COMPUTED_VALUE"""),1712693581)</f>
        <v>1712693581</v>
      </c>
      <c r="W32" s="21" t="str">
        <f ca="1">IFERROR(__xludf.DUMMYFUNCTION("""COMPUTED_VALUE"""),"মোঃ আনিসুর রহমান")</f>
        <v>মোঃ আনিসুর রহমান</v>
      </c>
      <c r="X32" s="21">
        <f ca="1">IFERROR(__xludf.DUMMYFUNCTION("""COMPUTED_VALUE"""),1716253412)</f>
        <v>1716253412</v>
      </c>
      <c r="Y32" s="21"/>
      <c r="Z32" s="21"/>
      <c r="AA32" s="21"/>
      <c r="AB32" s="21"/>
      <c r="AC32" s="21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15" customHeight="1" x14ac:dyDescent="0.15">
      <c r="A33" s="24">
        <f ca="1">IFERROR(__xludf.DUMMYFUNCTION("""COMPUTED_VALUE"""),46212.9139583333)</f>
        <v>46212.913958333302</v>
      </c>
      <c r="B33" s="25" t="str">
        <f ca="1">IFERROR(__xludf.DUMMYFUNCTION("""COMPUTED_VALUE"""),"mrd3fmrjqe6os32")</f>
        <v>mrd3fmrjqe6os32</v>
      </c>
      <c r="C33" s="25" t="str">
        <f ca="1">IFERROR(__xludf.DUMMYFUNCTION("""COMPUTED_VALUE"""),"রংপুর")</f>
        <v>রংপুর</v>
      </c>
      <c r="D33" s="25" t="str">
        <f ca="1">IFERROR(__xludf.DUMMYFUNCTION("""COMPUTED_VALUE"""),"রংপুর")</f>
        <v>রংপুর</v>
      </c>
      <c r="E33" s="25" t="str">
        <f ca="1">IFERROR(__xludf.DUMMYFUNCTION("""COMPUTED_VALUE"""),"কুড়িগ্রাম")</f>
        <v>কুড়িগ্রাম</v>
      </c>
      <c r="F33" s="25" t="str">
        <f ca="1">IFERROR(__xludf.DUMMYFUNCTION("""COMPUTED_VALUE"""),"ফুলবাড়ী")</f>
        <v>ফুলবাড়ী</v>
      </c>
      <c r="G33" s="25"/>
      <c r="H33" s="25"/>
      <c r="I33" s="25"/>
      <c r="J3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3" s="25"/>
      <c r="L33" s="25">
        <f ca="1">IFERROR(__xludf.DUMMYFUNCTION("""COMPUTED_VALUE"""),25.9315)</f>
        <v>25.9315</v>
      </c>
      <c r="M33" s="25">
        <f ca="1">IFERROR(__xludf.DUMMYFUNCTION("""COMPUTED_VALUE"""),89.5123)</f>
        <v>89.512299999999996</v>
      </c>
      <c r="N33" s="26">
        <f ca="1">IFERROR(__xludf.DUMMYFUNCTION("""COMPUTED_VALUE"""),46178)</f>
        <v>46178</v>
      </c>
      <c r="O33" s="25" t="str">
        <f ca="1">IFERROR(__xludf.DUMMYFUNCTION("""COMPUTED_VALUE"""),"লেবু চায়না-৩")</f>
        <v>লেবু চায়না-৩</v>
      </c>
      <c r="P33" s="25" t="str">
        <f ca="1">IFERROR(__xludf.DUMMYFUNCTION("""COMPUTED_VALUE"""),"ফলদ")</f>
        <v>ফলদ</v>
      </c>
      <c r="Q33" s="25">
        <f ca="1">IFERROR(__xludf.DUMMYFUNCTION("""COMPUTED_VALUE"""),220)</f>
        <v>220</v>
      </c>
      <c r="R33" s="25"/>
      <c r="S33" s="25"/>
      <c r="T33" s="25"/>
      <c r="U33" s="25" t="str">
        <f ca="1">IFERROR(__xludf.DUMMYFUNCTION("""COMPUTED_VALUE"""),"মো: ময়নুল হোসেন")</f>
        <v>মো: ময়নুল হোসেন</v>
      </c>
      <c r="V33" s="25">
        <f ca="1">IFERROR(__xludf.DUMMYFUNCTION("""COMPUTED_VALUE"""),1725614392)</f>
        <v>1725614392</v>
      </c>
      <c r="W33" s="25" t="str">
        <f ca="1">IFERROR(__xludf.DUMMYFUNCTION("""COMPUTED_VALUE"""),"মোঃ আনিসুর রহমান")</f>
        <v>মোঃ আনিসুর রহমান</v>
      </c>
      <c r="X33" s="25">
        <f ca="1">IFERROR(__xludf.DUMMYFUNCTION("""COMPUTED_VALUE"""),1716253412)</f>
        <v>1716253412</v>
      </c>
      <c r="Y33" s="25"/>
      <c r="Z33" s="25"/>
      <c r="AA33" s="25"/>
      <c r="AB33" s="25"/>
      <c r="AC33" s="25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ht="15" customHeight="1" x14ac:dyDescent="0.15">
      <c r="A34" s="20">
        <f ca="1">IFERROR(__xludf.DUMMYFUNCTION("""COMPUTED_VALUE"""),46211.9139699074)</f>
        <v>46211.9139699074</v>
      </c>
      <c r="B34" s="21" t="str">
        <f ca="1">IFERROR(__xludf.DUMMYFUNCTION("""COMPUTED_VALUE"""),"mrd3fmrjqe6os33")</f>
        <v>mrd3fmrjqe6os33</v>
      </c>
      <c r="C34" s="21" t="str">
        <f ca="1">IFERROR(__xludf.DUMMYFUNCTION("""COMPUTED_VALUE"""),"রংপুর")</f>
        <v>রংপুর</v>
      </c>
      <c r="D34" s="21" t="str">
        <f ca="1">IFERROR(__xludf.DUMMYFUNCTION("""COMPUTED_VALUE"""),"রংপুর")</f>
        <v>রংপুর</v>
      </c>
      <c r="E34" s="21" t="str">
        <f ca="1">IFERROR(__xludf.DUMMYFUNCTION("""COMPUTED_VALUE"""),"কুড়িগ্রাম")</f>
        <v>কুড়িগ্রাম</v>
      </c>
      <c r="F34" s="21" t="str">
        <f ca="1">IFERROR(__xludf.DUMMYFUNCTION("""COMPUTED_VALUE"""),"রাজারহাট")</f>
        <v>রাজারহাট</v>
      </c>
      <c r="G34" s="21"/>
      <c r="H34" s="21"/>
      <c r="I34" s="21"/>
      <c r="J3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4" s="21"/>
      <c r="L34" s="21">
        <f ca="1">IFERROR(__xludf.DUMMYFUNCTION("""COMPUTED_VALUE"""),25.8012)</f>
        <v>25.801200000000001</v>
      </c>
      <c r="M34" s="21">
        <f ca="1">IFERROR(__xludf.DUMMYFUNCTION("""COMPUTED_VALUE"""),89.5514)</f>
        <v>89.551400000000001</v>
      </c>
      <c r="N34" s="22">
        <f ca="1">IFERROR(__xludf.DUMMYFUNCTION("""COMPUTED_VALUE"""),46181)</f>
        <v>46181</v>
      </c>
      <c r="O34" s="21" t="str">
        <f ca="1">IFERROR(__xludf.DUMMYFUNCTION("""COMPUTED_VALUE"""),"আম (আমরুপালী)")</f>
        <v>আম (আমরুপালী)</v>
      </c>
      <c r="P34" s="21" t="str">
        <f ca="1">IFERROR(__xludf.DUMMYFUNCTION("""COMPUTED_VALUE"""),"ফলদ")</f>
        <v>ফলদ</v>
      </c>
      <c r="Q34" s="21">
        <f ca="1">IFERROR(__xludf.DUMMYFUNCTION("""COMPUTED_VALUE"""),33)</f>
        <v>33</v>
      </c>
      <c r="R34" s="21"/>
      <c r="S34" s="21"/>
      <c r="T34" s="21"/>
      <c r="U34" s="21" t="str">
        <f ca="1">IFERROR(__xludf.DUMMYFUNCTION("""COMPUTED_VALUE"""),"মো: আবু বকর")</f>
        <v>মো: আবু বকর</v>
      </c>
      <c r="V34" s="21">
        <f ca="1">IFERROR(__xludf.DUMMYFUNCTION("""COMPUTED_VALUE"""),1713594821)</f>
        <v>1713594821</v>
      </c>
      <c r="W34" s="21" t="str">
        <f ca="1">IFERROR(__xludf.DUMMYFUNCTION("""COMPUTED_VALUE"""),"মোঃ আমজাদ হোসেন")</f>
        <v>মোঃ আমজাদ হোসেন</v>
      </c>
      <c r="X34" s="21">
        <f ca="1">IFERROR(__xludf.DUMMYFUNCTION("""COMPUTED_VALUE"""),1718253491)</f>
        <v>1718253491</v>
      </c>
      <c r="Y34" s="21"/>
      <c r="Z34" s="21"/>
      <c r="AA34" s="21"/>
      <c r="AB34" s="21"/>
      <c r="AC34" s="21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15" customHeight="1" x14ac:dyDescent="0.15">
      <c r="A35" s="24">
        <f ca="1">IFERROR(__xludf.DUMMYFUNCTION("""COMPUTED_VALUE"""),46211.9139467592)</f>
        <v>46211.913946759203</v>
      </c>
      <c r="B35" s="25" t="str">
        <f ca="1">IFERROR(__xludf.DUMMYFUNCTION("""COMPUTED_VALUE"""),"mrd3fmrjqe6os34")</f>
        <v>mrd3fmrjqe6os34</v>
      </c>
      <c r="C35" s="25" t="str">
        <f ca="1">IFERROR(__xludf.DUMMYFUNCTION("""COMPUTED_VALUE"""),"রংপুর")</f>
        <v>রংপুর</v>
      </c>
      <c r="D35" s="25" t="str">
        <f ca="1">IFERROR(__xludf.DUMMYFUNCTION("""COMPUTED_VALUE"""),"রংপুর")</f>
        <v>রংপুর</v>
      </c>
      <c r="E35" s="25" t="str">
        <f ca="1">IFERROR(__xludf.DUMMYFUNCTION("""COMPUTED_VALUE"""),"কুড়িগ্রাম")</f>
        <v>কুড়িগ্রাম</v>
      </c>
      <c r="F35" s="25" t="str">
        <f ca="1">IFERROR(__xludf.DUMMYFUNCTION("""COMPUTED_VALUE"""),"রাজারহাট")</f>
        <v>রাজারহাট</v>
      </c>
      <c r="G35" s="25"/>
      <c r="H35" s="25"/>
      <c r="I35" s="25"/>
      <c r="J3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5" s="25"/>
      <c r="L35" s="25">
        <f ca="1">IFERROR(__xludf.DUMMYFUNCTION("""COMPUTED_VALUE"""),25.7841)</f>
        <v>25.784099999999999</v>
      </c>
      <c r="M35" s="25">
        <f ca="1">IFERROR(__xludf.DUMMYFUNCTION("""COMPUTED_VALUE"""),89.531)</f>
        <v>89.531000000000006</v>
      </c>
      <c r="N35" s="26">
        <f ca="1">IFERROR(__xludf.DUMMYFUNCTION("""COMPUTED_VALUE"""),46182)</f>
        <v>46182</v>
      </c>
      <c r="O35" s="25" t="str">
        <f ca="1">IFERROR(__xludf.DUMMYFUNCTION("""COMPUTED_VALUE"""),"পেয়ারা থাই-৭")</f>
        <v>পেয়ারা থাই-৭</v>
      </c>
      <c r="P35" s="25" t="str">
        <f ca="1">IFERROR(__xludf.DUMMYFUNCTION("""COMPUTED_VALUE"""),"ফলদ")</f>
        <v>ফলদ</v>
      </c>
      <c r="Q35" s="25">
        <f ca="1">IFERROR(__xludf.DUMMYFUNCTION("""COMPUTED_VALUE"""),85)</f>
        <v>85</v>
      </c>
      <c r="R35" s="25"/>
      <c r="S35" s="25"/>
      <c r="T35" s="25"/>
      <c r="U35" s="25" t="str">
        <f ca="1">IFERROR(__xludf.DUMMYFUNCTION("""COMPUTED_VALUE"""),"মোছা: আয়েশা সিদ্দিকা")</f>
        <v>মোছা: আয়েশা সিদ্দিকা</v>
      </c>
      <c r="V35" s="25">
        <f ca="1">IFERROR(__xludf.DUMMYFUNCTION("""COMPUTED_VALUE"""),1716954231)</f>
        <v>1716954231</v>
      </c>
      <c r="W35" s="25" t="str">
        <f ca="1">IFERROR(__xludf.DUMMYFUNCTION("""COMPUTED_VALUE"""),"মোঃ আমজাদ হোসেন")</f>
        <v>মোঃ আমজাদ হোসেন</v>
      </c>
      <c r="X35" s="25">
        <f ca="1">IFERROR(__xludf.DUMMYFUNCTION("""COMPUTED_VALUE"""),1718253491)</f>
        <v>1718253491</v>
      </c>
      <c r="Y35" s="25"/>
      <c r="Z35" s="25"/>
      <c r="AA35" s="25"/>
      <c r="AB35" s="25"/>
      <c r="AC35" s="25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ht="15" customHeight="1" x14ac:dyDescent="0.15">
      <c r="A36" s="20">
        <f ca="1">IFERROR(__xludf.DUMMYFUNCTION("""COMPUTED_VALUE"""),46212.9139583333)</f>
        <v>46212.913958333302</v>
      </c>
      <c r="B36" s="21" t="str">
        <f ca="1">IFERROR(__xludf.DUMMYFUNCTION("""COMPUTED_VALUE"""),"mrd3fmrjqe6os35")</f>
        <v>mrd3fmrjqe6os35</v>
      </c>
      <c r="C36" s="21" t="str">
        <f ca="1">IFERROR(__xludf.DUMMYFUNCTION("""COMPUTED_VALUE"""),"রংপুর")</f>
        <v>রংপুর</v>
      </c>
      <c r="D36" s="21" t="str">
        <f ca="1">IFERROR(__xludf.DUMMYFUNCTION("""COMPUTED_VALUE"""),"রংপুর")</f>
        <v>রংপুর</v>
      </c>
      <c r="E36" s="21" t="str">
        <f ca="1">IFERROR(__xludf.DUMMYFUNCTION("""COMPUTED_VALUE"""),"কুড়িগ্রাম")</f>
        <v>কুড়িগ্রাম</v>
      </c>
      <c r="F36" s="21" t="str">
        <f ca="1">IFERROR(__xludf.DUMMYFUNCTION("""COMPUTED_VALUE"""),"রাজারহাট")</f>
        <v>রাজারহাট</v>
      </c>
      <c r="G36" s="21"/>
      <c r="H36" s="21"/>
      <c r="I36" s="21"/>
      <c r="J3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6" s="21"/>
      <c r="L36" s="21">
        <f ca="1">IFERROR(__xludf.DUMMYFUNCTION("""COMPUTED_VALUE"""),25.8123)</f>
        <v>25.8123</v>
      </c>
      <c r="M36" s="21">
        <f ca="1">IFERROR(__xludf.DUMMYFUNCTION("""COMPUTED_VALUE"""),89.5641)</f>
        <v>89.564099999999996</v>
      </c>
      <c r="N36" s="22">
        <f ca="1">IFERROR(__xludf.DUMMYFUNCTION("""COMPUTED_VALUE"""),46183)</f>
        <v>46183</v>
      </c>
      <c r="O36" s="21" t="str">
        <f ca="1">IFERROR(__xludf.DUMMYFUNCTION("""COMPUTED_VALUE"""),"মাল্টা বারি-১")</f>
        <v>মাল্টা বারি-১</v>
      </c>
      <c r="P36" s="21" t="str">
        <f ca="1">IFERROR(__xludf.DUMMYFUNCTION("""COMPUTED_VALUE"""),"ফলদ")</f>
        <v>ফলদ</v>
      </c>
      <c r="Q36" s="21">
        <f ca="1">IFERROR(__xludf.DUMMYFUNCTION("""COMPUTED_VALUE"""),60)</f>
        <v>60</v>
      </c>
      <c r="R36" s="21"/>
      <c r="S36" s="21"/>
      <c r="T36" s="21"/>
      <c r="U36" s="21" t="str">
        <f ca="1">IFERROR(__xludf.DUMMYFUNCTION("""COMPUTED_VALUE"""),"মো: শাহজাহান আলী")</f>
        <v>মো: শাহজাহান আলী</v>
      </c>
      <c r="V36" s="21">
        <f ca="1">IFERROR(__xludf.DUMMYFUNCTION("""COMPUTED_VALUE"""),1712953481)</f>
        <v>1712953481</v>
      </c>
      <c r="W36" s="21" t="str">
        <f ca="1">IFERROR(__xludf.DUMMYFUNCTION("""COMPUTED_VALUE"""),"মোঃ আমজাদ হোসেন")</f>
        <v>মোঃ আমজাদ হোসেন</v>
      </c>
      <c r="X36" s="21">
        <f ca="1">IFERROR(__xludf.DUMMYFUNCTION("""COMPUTED_VALUE"""),1718253491)</f>
        <v>1718253491</v>
      </c>
      <c r="Y36" s="21"/>
      <c r="Z36" s="21"/>
      <c r="AA36" s="21"/>
      <c r="AB36" s="21"/>
      <c r="AC36" s="21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15" customHeight="1" x14ac:dyDescent="0.15">
      <c r="A37" s="24">
        <f ca="1">IFERROR(__xludf.DUMMYFUNCTION("""COMPUTED_VALUE"""),46211.9139699074)</f>
        <v>46211.9139699074</v>
      </c>
      <c r="B37" s="25" t="str">
        <f ca="1">IFERROR(__xludf.DUMMYFUNCTION("""COMPUTED_VALUE"""),"mrd3fmrjqe6os36")</f>
        <v>mrd3fmrjqe6os36</v>
      </c>
      <c r="C37" s="25" t="str">
        <f ca="1">IFERROR(__xludf.DUMMYFUNCTION("""COMPUTED_VALUE"""),"রংপুর")</f>
        <v>রংপুর</v>
      </c>
      <c r="D37" s="25" t="str">
        <f ca="1">IFERROR(__xludf.DUMMYFUNCTION("""COMPUTED_VALUE"""),"রংপুর")</f>
        <v>রংপুর</v>
      </c>
      <c r="E37" s="25" t="str">
        <f ca="1">IFERROR(__xludf.DUMMYFUNCTION("""COMPUTED_VALUE"""),"কুড়িগ্রাম")</f>
        <v>কুড়িগ্রাম</v>
      </c>
      <c r="F37" s="25" t="str">
        <f ca="1">IFERROR(__xludf.DUMMYFUNCTION("""COMPUTED_VALUE"""),"রাজারহাট")</f>
        <v>রাজারহাট</v>
      </c>
      <c r="G37" s="25"/>
      <c r="H37" s="25"/>
      <c r="I37" s="25"/>
      <c r="J3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7" s="25"/>
      <c r="L37" s="25">
        <f ca="1">IFERROR(__xludf.DUMMYFUNCTION("""COMPUTED_VALUE"""),25.7915)</f>
        <v>25.791499999999999</v>
      </c>
      <c r="M37" s="25">
        <f ca="1">IFERROR(__xludf.DUMMYFUNCTION("""COMPUTED_VALUE"""),89.5412)</f>
        <v>89.541200000000003</v>
      </c>
      <c r="N37" s="26">
        <f ca="1">IFERROR(__xludf.DUMMYFUNCTION("""COMPUTED_VALUE"""),46185)</f>
        <v>46185</v>
      </c>
      <c r="O37" s="25" t="str">
        <f ca="1">IFERROR(__xludf.DUMMYFUNCTION("""COMPUTED_VALUE"""),"লেবু সিডরেস")</f>
        <v>লেবু সিডরেস</v>
      </c>
      <c r="P37" s="25" t="str">
        <f ca="1">IFERROR(__xludf.DUMMYFUNCTION("""COMPUTED_VALUE"""),"ফলদ")</f>
        <v>ফলদ</v>
      </c>
      <c r="Q37" s="25">
        <f ca="1">IFERROR(__xludf.DUMMYFUNCTION("""COMPUTED_VALUE"""),220)</f>
        <v>220</v>
      </c>
      <c r="R37" s="25"/>
      <c r="S37" s="25"/>
      <c r="T37" s="25"/>
      <c r="U37" s="25" t="str">
        <f ca="1">IFERROR(__xludf.DUMMYFUNCTION("""COMPUTED_VALUE"""),"মো: দুলাল মিয়া")</f>
        <v>মো: দুলাল মিয়া</v>
      </c>
      <c r="V37" s="25">
        <f ca="1">IFERROR(__xludf.DUMMYFUNCTION("""COMPUTED_VALUE"""),1724591382)</f>
        <v>1724591382</v>
      </c>
      <c r="W37" s="25" t="str">
        <f ca="1">IFERROR(__xludf.DUMMYFUNCTION("""COMPUTED_VALUE"""),"মোঃ আমজাদ হোসেন")</f>
        <v>মোঃ আমজাদ হোসেন</v>
      </c>
      <c r="X37" s="25">
        <f ca="1">IFERROR(__xludf.DUMMYFUNCTION("""COMPUTED_VALUE"""),1718253491)</f>
        <v>1718253491</v>
      </c>
      <c r="Y37" s="25"/>
      <c r="Z37" s="25"/>
      <c r="AA37" s="25"/>
      <c r="AB37" s="25"/>
      <c r="AC37" s="25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ht="15" customHeight="1" x14ac:dyDescent="0.15">
      <c r="A38" s="20">
        <f ca="1">IFERROR(__xludf.DUMMYFUNCTION("""COMPUTED_VALUE"""),46211.9556134259)</f>
        <v>46211.955613425896</v>
      </c>
      <c r="B38" s="21" t="str">
        <f ca="1">IFERROR(__xludf.DUMMYFUNCTION("""COMPUTED_VALUE"""),"mrd3fmrjqe6os37")</f>
        <v>mrd3fmrjqe6os37</v>
      </c>
      <c r="C38" s="21" t="str">
        <f ca="1">IFERROR(__xludf.DUMMYFUNCTION("""COMPUTED_VALUE"""),"রংপুর")</f>
        <v>রংপুর</v>
      </c>
      <c r="D38" s="21" t="str">
        <f ca="1">IFERROR(__xludf.DUMMYFUNCTION("""COMPUTED_VALUE"""),"রংপুর")</f>
        <v>রংপুর</v>
      </c>
      <c r="E38" s="21" t="str">
        <f ca="1">IFERROR(__xludf.DUMMYFUNCTION("""COMPUTED_VALUE"""),"কুড়িগ্রাম")</f>
        <v>কুড়িগ্রাম</v>
      </c>
      <c r="F38" s="21" t="str">
        <f ca="1">IFERROR(__xludf.DUMMYFUNCTION("""COMPUTED_VALUE"""),"কুড়িগ্রাম")</f>
        <v>কুড়িগ্রাম</v>
      </c>
      <c r="G38" s="21" t="str">
        <f ca="1">IFERROR(__xludf.DUMMYFUNCTION("""COMPUTED_VALUE"""),"মোগলবাসা")</f>
        <v>মোগলবাসা</v>
      </c>
      <c r="H38" s="21" t="str">
        <f ca="1">IFERROR(__xludf.DUMMYFUNCTION("""COMPUTED_VALUE"""),"বেলগাছা")</f>
        <v>বেলগাছা</v>
      </c>
      <c r="I38" s="21" t="str">
        <f ca="1">IFERROR(__xludf.DUMMYFUNCTION("""COMPUTED_VALUE"""),"সড়কপার্শ্ব")</f>
        <v>সড়কপার্শ্ব</v>
      </c>
      <c r="J38" s="21" t="str">
        <f ca="1">IFERROR(__xludf.DUMMYFUNCTION("""COMPUTED_VALUE"""),"প্রদর্শনী")</f>
        <v>প্রদর্শনী</v>
      </c>
      <c r="K38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38" s="21">
        <f ca="1">IFERROR(__xludf.DUMMYFUNCTION("""COMPUTED_VALUE"""),25.803363)</f>
        <v>25.803363000000001</v>
      </c>
      <c r="M38" s="21">
        <f ca="1">IFERROR(__xludf.DUMMYFUNCTION("""COMPUTED_VALUE"""),89.638701)</f>
        <v>89.638700999999998</v>
      </c>
      <c r="N38" s="22">
        <f ca="1">IFERROR(__xludf.DUMMYFUNCTION("""COMPUTED_VALUE"""),46204)</f>
        <v>46204</v>
      </c>
      <c r="O38" s="21" t="str">
        <f ca="1">IFERROR(__xludf.DUMMYFUNCTION("""COMPUTED_VALUE"""),"আম")</f>
        <v>আম</v>
      </c>
      <c r="P38" s="21" t="str">
        <f ca="1">IFERROR(__xludf.DUMMYFUNCTION("""COMPUTED_VALUE"""),"ফলদ")</f>
        <v>ফলদ</v>
      </c>
      <c r="Q38" s="21">
        <f ca="1">IFERROR(__xludf.DUMMYFUNCTION("""COMPUTED_VALUE"""),1)</f>
        <v>1</v>
      </c>
      <c r="R38" s="21">
        <f ca="1">IFERROR(__xludf.DUMMYFUNCTION("""COMPUTED_VALUE"""),0.33)</f>
        <v>0.33</v>
      </c>
      <c r="S38" s="21"/>
      <c r="T38" s="21"/>
      <c r="U38" s="21" t="str">
        <f ca="1">IFERROR(__xludf.DUMMYFUNCTION("""COMPUTED_VALUE"""),"Test")</f>
        <v>Test</v>
      </c>
      <c r="V38" s="21">
        <f ca="1">IFERROR(__xludf.DUMMYFUNCTION("""COMPUTED_VALUE"""),1700300040)</f>
        <v>1700300040</v>
      </c>
      <c r="W38" s="21"/>
      <c r="X38" s="21"/>
      <c r="Y38" s="21"/>
      <c r="Z38" s="21"/>
      <c r="AA38" s="21"/>
      <c r="AB38" s="21" t="str">
        <f ca="1">IFERROR(__xludf.DUMMYFUNCTION("""COMPUTED_VALUE"""),"c3dcf4f096d699204c9e2cc8ea404f75")</f>
        <v>c3dcf4f096d699204c9e2cc8ea404f75</v>
      </c>
      <c r="AC38" s="20">
        <f ca="1">IFERROR(__xludf.DUMMYFUNCTION("""COMPUTED_VALUE"""),46211.9556134259)</f>
        <v>46211.955613425896</v>
      </c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40" ht="15" customHeight="1" x14ac:dyDescent="0.15">
      <c r="A39" s="24">
        <f ca="1">IFERROR(__xludf.DUMMYFUNCTION("""COMPUTED_VALUE"""),46211.9757638888)</f>
        <v>46211.975763888797</v>
      </c>
      <c r="B39" s="25" t="str">
        <f ca="1">IFERROR(__xludf.DUMMYFUNCTION("""COMPUTED_VALUE"""),"mrd4gz3yc4rnij")</f>
        <v>mrd4gz3yc4rnij</v>
      </c>
      <c r="C39" s="25" t="str">
        <f ca="1">IFERROR(__xludf.DUMMYFUNCTION("""COMPUTED_VALUE"""),"রংপুর")</f>
        <v>রংপুর</v>
      </c>
      <c r="D39" s="25" t="str">
        <f ca="1">IFERROR(__xludf.DUMMYFUNCTION("""COMPUTED_VALUE"""),"রংপুর")</f>
        <v>রংপুর</v>
      </c>
      <c r="E39" s="25" t="str">
        <f ca="1">IFERROR(__xludf.DUMMYFUNCTION("""COMPUTED_VALUE"""),"কুড়িগ্রাম")</f>
        <v>কুড়িগ্রাম</v>
      </c>
      <c r="F39" s="25" t="str">
        <f ca="1">IFERROR(__xludf.DUMMYFUNCTION("""COMPUTED_VALUE"""),"কুড়িগ্রাম সদর")</f>
        <v>কুড়িগ্রাম সদর</v>
      </c>
      <c r="G39" s="25"/>
      <c r="H39" s="25"/>
      <c r="I39" s="25"/>
      <c r="J39" s="25" t="str">
        <f ca="1">IFERROR(__xludf.DUMMYFUNCTION("""COMPUTED_VALUE"""),"প্রদর্শনী")</f>
        <v>প্রদর্শনী</v>
      </c>
      <c r="K39" s="25" t="str">
        <f ca="1">IFERROR(__xludf.DUMMYFUNCTION("""COMPUTED_VALUE"""),"থানাহাট, চিলমারী")</f>
        <v>থানাহাট, চিলমারী</v>
      </c>
      <c r="L39" s="25">
        <f ca="1">IFERROR(__xludf.DUMMYFUNCTION("""COMPUTED_VALUE"""),25.802833)</f>
        <v>25.802833</v>
      </c>
      <c r="M39" s="25">
        <f ca="1">IFERROR(__xludf.DUMMYFUNCTION("""COMPUTED_VALUE"""),89.638069)</f>
        <v>89.638069000000002</v>
      </c>
      <c r="N39" s="26">
        <f ca="1">IFERROR(__xludf.DUMMYFUNCTION("""COMPUTED_VALUE"""),46199)</f>
        <v>46199</v>
      </c>
      <c r="O39" s="25" t="str">
        <f ca="1">IFERROR(__xludf.DUMMYFUNCTION("""COMPUTED_VALUE"""),"আম")</f>
        <v>আম</v>
      </c>
      <c r="P39" s="25" t="str">
        <f ca="1">IFERROR(__xludf.DUMMYFUNCTION("""COMPUTED_VALUE"""),"ফলদ")</f>
        <v>ফলদ</v>
      </c>
      <c r="Q39" s="25">
        <f ca="1">IFERROR(__xludf.DUMMYFUNCTION("""COMPUTED_VALUE"""),30)</f>
        <v>30</v>
      </c>
      <c r="R39" s="25">
        <f ca="1">IFERROR(__xludf.DUMMYFUNCTION("""COMPUTED_VALUE"""),0.407)</f>
        <v>0.40699999999999997</v>
      </c>
      <c r="S39" s="25"/>
      <c r="T39" s="25"/>
      <c r="U39" s="25" t="str">
        <f ca="1">IFERROR(__xludf.DUMMYFUNCTION("""COMPUTED_VALUE"""),"মোঃ আখতার হোসেন")</f>
        <v>মোঃ আখতার হোসেন</v>
      </c>
      <c r="V39" s="25">
        <f ca="1">IFERROR(__xludf.DUMMYFUNCTION("""COMPUTED_VALUE"""),1794829595)</f>
        <v>1794829595</v>
      </c>
      <c r="W39" s="25" t="str">
        <f ca="1">IFERROR(__xludf.DUMMYFUNCTION("""COMPUTED_VALUE"""),"মাহফুজ আহমেদ")</f>
        <v>মাহফুজ আহমেদ</v>
      </c>
      <c r="X39" s="25"/>
      <c r="Y39" s="25" t="str">
        <f ca="1">IFERROR(__xludf.DUMMYFUNCTION("""COMPUTED_VALUE"""),"মোঃ সারওয়ার হোসেন")</f>
        <v>মোঃ সারওয়ার হোসেন</v>
      </c>
      <c r="Z39" s="25">
        <f ca="1">IFERROR(__xludf.DUMMYFUNCTION("""COMPUTED_VALUE"""),1737358851)</f>
        <v>1737358851</v>
      </c>
      <c r="AA39" s="25"/>
      <c r="AB39" s="25" t="str">
        <f ca="1">IFERROR(__xludf.DUMMYFUNCTION("""COMPUTED_VALUE"""),"3b489182423606fc06024893909e9c1a")</f>
        <v>3b489182423606fc06024893909e9c1a</v>
      </c>
      <c r="AC39" s="24">
        <f ca="1">IFERROR(__xludf.DUMMYFUNCTION("""COMPUTED_VALUE"""),46211.9757638888)</f>
        <v>46211.975763888797</v>
      </c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</row>
    <row r="40" spans="1:40" ht="15" customHeight="1" x14ac:dyDescent="0.15">
      <c r="A40" s="20">
        <f ca="1">IFERROR(__xludf.DUMMYFUNCTION("""COMPUTED_VALUE"""),46211.9780902777)</f>
        <v>46211.978090277698</v>
      </c>
      <c r="B40" s="21" t="str">
        <f ca="1">IFERROR(__xludf.DUMMYFUNCTION("""COMPUTED_VALUE"""),"mrd4lahos4sus7")</f>
        <v>mrd4lahos4sus7</v>
      </c>
      <c r="C40" s="21" t="str">
        <f ca="1">IFERROR(__xludf.DUMMYFUNCTION("""COMPUTED_VALUE"""),"রংপুর")</f>
        <v>রংপুর</v>
      </c>
      <c r="D40" s="21" t="str">
        <f ca="1">IFERROR(__xludf.DUMMYFUNCTION("""COMPUTED_VALUE"""),"রংপুর")</f>
        <v>রংপুর</v>
      </c>
      <c r="E40" s="21" t="str">
        <f ca="1">IFERROR(__xludf.DUMMYFUNCTION("""COMPUTED_VALUE"""),"কুড়িগ্রাম")</f>
        <v>কুড়িগ্রাম</v>
      </c>
      <c r="F40" s="21" t="str">
        <f ca="1">IFERROR(__xludf.DUMMYFUNCTION("""COMPUTED_VALUE"""),"কুড়িগ্রাম সদর")</f>
        <v>কুড়িগ্রাম সদর</v>
      </c>
      <c r="G40" s="21" t="str">
        <f ca="1">IFERROR(__xludf.DUMMYFUNCTION("""COMPUTED_VALUE"""),"রাজিবপুর")</f>
        <v>রাজিবপুর</v>
      </c>
      <c r="H40" s="21" t="str">
        <f ca="1">IFERROR(__xludf.DUMMYFUNCTION("""COMPUTED_VALUE"""),"মরিচাকান্দি")</f>
        <v>মরিচাকান্দি</v>
      </c>
      <c r="I40" s="21" t="str">
        <f ca="1">IFERROR(__xludf.DUMMYFUNCTION("""COMPUTED_VALUE"""),"ক্ষেত্র/জমি")</f>
        <v>ক্ষেত্র/জমি</v>
      </c>
      <c r="J40" s="21" t="str">
        <f ca="1">IFERROR(__xludf.DUMMYFUNCTION("""COMPUTED_VALUE"""),"প্রণোদনা")</f>
        <v>প্রণোদনা</v>
      </c>
      <c r="K40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0" s="21">
        <f ca="1">IFERROR(__xludf.DUMMYFUNCTION("""COMPUTED_VALUE"""),25.802903)</f>
        <v>25.802903000000001</v>
      </c>
      <c r="M40" s="21">
        <f ca="1">IFERROR(__xludf.DUMMYFUNCTION("""COMPUTED_VALUE"""),89.637888)</f>
        <v>89.637888000000004</v>
      </c>
      <c r="N40" s="22">
        <f ca="1">IFERROR(__xludf.DUMMYFUNCTION("""COMPUTED_VALUE"""),46212)</f>
        <v>46212</v>
      </c>
      <c r="O40" s="21" t="str">
        <f ca="1">IFERROR(__xludf.DUMMYFUNCTION("""COMPUTED_VALUE"""),"আম")</f>
        <v>আম</v>
      </c>
      <c r="P40" s="21" t="str">
        <f ca="1">IFERROR(__xludf.DUMMYFUNCTION("""COMPUTED_VALUE"""),"ফলদ")</f>
        <v>ফলদ</v>
      </c>
      <c r="Q40" s="21">
        <f ca="1">IFERROR(__xludf.DUMMYFUNCTION("""COMPUTED_VALUE"""),5)</f>
        <v>5</v>
      </c>
      <c r="R40" s="21">
        <f ca="1">IFERROR(__xludf.DUMMYFUNCTION("""COMPUTED_VALUE"""),0.25)</f>
        <v>0.25</v>
      </c>
      <c r="S40" s="21"/>
      <c r="T40" s="21"/>
      <c r="U40" s="21" t="str">
        <f ca="1">IFERROR(__xludf.DUMMYFUNCTION("""COMPUTED_VALUE"""),"মনু মিয়া")</f>
        <v>মনু মিয়া</v>
      </c>
      <c r="V40" s="21">
        <f ca="1">IFERROR(__xludf.DUMMYFUNCTION("""COMPUTED_VALUE"""),1748485819)</f>
        <v>1748485819</v>
      </c>
      <c r="W40" s="21" t="str">
        <f ca="1">IFERROR(__xludf.DUMMYFUNCTION("""COMPUTED_VALUE"""),"নজরুল ইসলাম")</f>
        <v>নজরুল ইসলাম</v>
      </c>
      <c r="X40" s="21">
        <f ca="1">IFERROR(__xludf.DUMMYFUNCTION("""COMPUTED_VALUE"""),1765856589)</f>
        <v>1765856589</v>
      </c>
      <c r="Y40" s="21" t="str">
        <f ca="1">IFERROR(__xludf.DUMMYFUNCTION("""COMPUTED_VALUE"""),"দিপক দেব নাথ")</f>
        <v>দিপক দেব নাথ</v>
      </c>
      <c r="Z40" s="21">
        <f ca="1">IFERROR(__xludf.DUMMYFUNCTION("""COMPUTED_VALUE"""),1738385819)</f>
        <v>1738385819</v>
      </c>
      <c r="AA40" s="21"/>
      <c r="AB40" s="21" t="str">
        <f ca="1">IFERROR(__xludf.DUMMYFUNCTION("""COMPUTED_VALUE"""),"6828076bd9f9d37199a55645635ac39f")</f>
        <v>6828076bd9f9d37199a55645635ac39f</v>
      </c>
      <c r="AC40" s="20">
        <f ca="1">IFERROR(__xludf.DUMMYFUNCTION("""COMPUTED_VALUE"""),46211.9780902777)</f>
        <v>46211.978090277698</v>
      </c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40" ht="15" customHeight="1" x14ac:dyDescent="0.15">
      <c r="A41" s="24">
        <f ca="1">IFERROR(__xludf.DUMMYFUNCTION("""COMPUTED_VALUE"""),46211.9781597222)</f>
        <v>46211.978159722203</v>
      </c>
      <c r="B41" s="25" t="str">
        <f ca="1">IFERROR(__xludf.DUMMYFUNCTION("""COMPUTED_VALUE"""),"mrd4leoxcm8uyw")</f>
        <v>mrd4leoxcm8uyw</v>
      </c>
      <c r="C41" s="25" t="str">
        <f ca="1">IFERROR(__xludf.DUMMYFUNCTION("""COMPUTED_VALUE"""),"রংপুর")</f>
        <v>রংপুর</v>
      </c>
      <c r="D41" s="25" t="str">
        <f ca="1">IFERROR(__xludf.DUMMYFUNCTION("""COMPUTED_VALUE"""),"রংপুর")</f>
        <v>রংপুর</v>
      </c>
      <c r="E41" s="25" t="str">
        <f ca="1">IFERROR(__xludf.DUMMYFUNCTION("""COMPUTED_VALUE"""),"কুড়িগ্রাম")</f>
        <v>কুড়িগ্রাম</v>
      </c>
      <c r="F41" s="25" t="str">
        <f ca="1">IFERROR(__xludf.DUMMYFUNCTION("""COMPUTED_VALUE"""),"রাজারহাট")</f>
        <v>রাজারহাট</v>
      </c>
      <c r="G41" s="25" t="str">
        <f ca="1">IFERROR(__xludf.DUMMYFUNCTION("""COMPUTED_VALUE"""),"রাজারহাট")</f>
        <v>রাজারহাট</v>
      </c>
      <c r="H41" s="25" t="str">
        <f ca="1">IFERROR(__xludf.DUMMYFUNCTION("""COMPUTED_VALUE"""),"পুটিকাটা")</f>
        <v>পুটিকাটা</v>
      </c>
      <c r="I41" s="25" t="str">
        <f ca="1">IFERROR(__xludf.DUMMYFUNCTION("""COMPUTED_VALUE"""),"বাড়ি/আঙিনা")</f>
        <v>বাড়ি/আঙিনা</v>
      </c>
      <c r="J41" s="25" t="str">
        <f ca="1">IFERROR(__xludf.DUMMYFUNCTION("""COMPUTED_VALUE"""),"প্রণোদনা")</f>
        <v>প্রণোদনা</v>
      </c>
      <c r="K41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1" s="25">
        <f ca="1">IFERROR(__xludf.DUMMYFUNCTION("""COMPUTED_VALUE"""),25.802876)</f>
        <v>25.802876000000001</v>
      </c>
      <c r="M41" s="25">
        <f ca="1">IFERROR(__xludf.DUMMYFUNCTION("""COMPUTED_VALUE"""),89.638004)</f>
        <v>89.638003999999995</v>
      </c>
      <c r="N41" s="26">
        <f ca="1">IFERROR(__xludf.DUMMYFUNCTION("""COMPUTED_VALUE"""),46211)</f>
        <v>46211</v>
      </c>
      <c r="O41" s="25" t="str">
        <f ca="1">IFERROR(__xludf.DUMMYFUNCTION("""COMPUTED_VALUE"""),"আম")</f>
        <v>আম</v>
      </c>
      <c r="P41" s="25" t="str">
        <f ca="1">IFERROR(__xludf.DUMMYFUNCTION("""COMPUTED_VALUE"""),"ফলদ")</f>
        <v>ফলদ</v>
      </c>
      <c r="Q41" s="25">
        <f ca="1">IFERROR(__xludf.DUMMYFUNCTION("""COMPUTED_VALUE"""),1)</f>
        <v>1</v>
      </c>
      <c r="R41" s="25">
        <f ca="1">IFERROR(__xludf.DUMMYFUNCTION("""COMPUTED_VALUE"""),0.314)</f>
        <v>0.314</v>
      </c>
      <c r="S41" s="25"/>
      <c r="T41" s="25"/>
      <c r="U41" s="25" t="str">
        <f ca="1">IFERROR(__xludf.DUMMYFUNCTION("""COMPUTED_VALUE"""),"গনেশ")</f>
        <v>গনেশ</v>
      </c>
      <c r="V41" s="25">
        <f ca="1">IFERROR(__xludf.DUMMYFUNCTION("""COMPUTED_VALUE"""),1979183491)</f>
        <v>1979183491</v>
      </c>
      <c r="W41" s="25" t="str">
        <f ca="1">IFERROR(__xludf.DUMMYFUNCTION("""COMPUTED_VALUE"""),"মোছাঃ সোহানা  খাতুন")</f>
        <v>মোছাঃ সোহানা  খাতুন</v>
      </c>
      <c r="X41" s="25">
        <f ca="1">IFERROR(__xludf.DUMMYFUNCTION("""COMPUTED_VALUE"""),1310582141)</f>
        <v>1310582141</v>
      </c>
      <c r="Y41" s="25" t="str">
        <f ca="1">IFERROR(__xludf.DUMMYFUNCTION("""COMPUTED_VALUE"""),"MD. MAIDUL HASAN")</f>
        <v>MD. MAIDUL HASAN</v>
      </c>
      <c r="Z41" s="25">
        <f ca="1">IFERROR(__xludf.DUMMYFUNCTION("""COMPUTED_VALUE"""),1723183491)</f>
        <v>1723183491</v>
      </c>
      <c r="AA41" s="25"/>
      <c r="AB41" s="25" t="str">
        <f ca="1">IFERROR(__xludf.DUMMYFUNCTION("""COMPUTED_VALUE"""),"6e5f3ea9194e3ede734073be46f32eb6")</f>
        <v>6e5f3ea9194e3ede734073be46f32eb6</v>
      </c>
      <c r="AC41" s="24">
        <f ca="1">IFERROR(__xludf.DUMMYFUNCTION("""COMPUTED_VALUE"""),46211.9781597222)</f>
        <v>46211.978159722203</v>
      </c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</row>
    <row r="42" spans="1:40" ht="15" customHeight="1" x14ac:dyDescent="0.15">
      <c r="A42" s="20">
        <f ca="1">IFERROR(__xludf.DUMMYFUNCTION("""COMPUTED_VALUE"""),46211.9784143518)</f>
        <v>46211.978414351797</v>
      </c>
      <c r="B42" s="21" t="str">
        <f ca="1">IFERROR(__xludf.DUMMYFUNCTION("""COMPUTED_VALUE"""),"mrd4lvty712nbd")</f>
        <v>mrd4lvty712nbd</v>
      </c>
      <c r="C42" s="21" t="str">
        <f ca="1">IFERROR(__xludf.DUMMYFUNCTION("""COMPUTED_VALUE"""),"রংপুর")</f>
        <v>রংপুর</v>
      </c>
      <c r="D42" s="21" t="str">
        <f ca="1">IFERROR(__xludf.DUMMYFUNCTION("""COMPUTED_VALUE"""),"রংপুর")</f>
        <v>রংপুর</v>
      </c>
      <c r="E42" s="21" t="str">
        <f ca="1">IFERROR(__xludf.DUMMYFUNCTION("""COMPUTED_VALUE"""),"কুড়িগ্রাম")</f>
        <v>কুড়িগ্রাম</v>
      </c>
      <c r="F42" s="21" t="str">
        <f ca="1">IFERROR(__xludf.DUMMYFUNCTION("""COMPUTED_VALUE"""),"কুড়িগ্রাম সদর")</f>
        <v>কুড়িগ্রাম সদর</v>
      </c>
      <c r="G42" s="21" t="str">
        <f ca="1">IFERROR(__xludf.DUMMYFUNCTION("""COMPUTED_VALUE"""),"পৌরসভা")</f>
        <v>পৌরসভা</v>
      </c>
      <c r="H42" s="21" t="str">
        <f ca="1">IFERROR(__xludf.DUMMYFUNCTION("""COMPUTED_VALUE"""),"রামদাস ধনিরাম")</f>
        <v>রামদাস ধনিরাম</v>
      </c>
      <c r="I42" s="21"/>
      <c r="J42" s="21"/>
      <c r="K42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2" s="21">
        <f ca="1">IFERROR(__xludf.DUMMYFUNCTION("""COMPUTED_VALUE"""),25.802889)</f>
        <v>25.802889</v>
      </c>
      <c r="M42" s="21">
        <f ca="1">IFERROR(__xludf.DUMMYFUNCTION("""COMPUTED_VALUE"""),89.638051)</f>
        <v>89.638051000000004</v>
      </c>
      <c r="N42" s="22">
        <f ca="1">IFERROR(__xludf.DUMMYFUNCTION("""COMPUTED_VALUE"""),46207)</f>
        <v>46207</v>
      </c>
      <c r="O42" s="21" t="str">
        <f ca="1">IFERROR(__xludf.DUMMYFUNCTION("""COMPUTED_VALUE"""),"আম")</f>
        <v>আম</v>
      </c>
      <c r="P42" s="21" t="str">
        <f ca="1">IFERROR(__xludf.DUMMYFUNCTION("""COMPUTED_VALUE"""),"ফলদ")</f>
        <v>ফলদ</v>
      </c>
      <c r="Q42" s="21">
        <f ca="1">IFERROR(__xludf.DUMMYFUNCTION("""COMPUTED_VALUE"""),33)</f>
        <v>33</v>
      </c>
      <c r="R42" s="21">
        <f ca="1">IFERROR(__xludf.DUMMYFUNCTION("""COMPUTED_VALUE"""),0.302)</f>
        <v>0.30199999999999999</v>
      </c>
      <c r="S42" s="21"/>
      <c r="T42" s="21"/>
      <c r="U42" s="21" t="str">
        <f ca="1">IFERROR(__xludf.DUMMYFUNCTION("""COMPUTED_VALUE"""),"মো: আতাউর")</f>
        <v>মো: আতাউর</v>
      </c>
      <c r="V42" s="21">
        <f ca="1">IFERROR(__xludf.DUMMYFUNCTION("""COMPUTED_VALUE"""),1710050829)</f>
        <v>1710050829</v>
      </c>
      <c r="W42" s="21"/>
      <c r="X42" s="21"/>
      <c r="Y42" s="21" t="str">
        <f ca="1">IFERROR(__xludf.DUMMYFUNCTION("""COMPUTED_VALUE"""),"মোছা: আফরোজা পারভীন রিফা")</f>
        <v>মোছা: আফরোজা পারভীন রিফা</v>
      </c>
      <c r="Z42" s="21">
        <f ca="1">IFERROR(__xludf.DUMMYFUNCTION("""COMPUTED_VALUE"""),1784143269)</f>
        <v>1784143269</v>
      </c>
      <c r="AA42" s="21"/>
      <c r="AB42" s="21" t="str">
        <f ca="1">IFERROR(__xludf.DUMMYFUNCTION("""COMPUTED_VALUE"""),"ccda774dc88460b3aa51f6b2c434f48a")</f>
        <v>ccda774dc88460b3aa51f6b2c434f48a</v>
      </c>
      <c r="AC42" s="20">
        <f ca="1">IFERROR(__xludf.DUMMYFUNCTION("""COMPUTED_VALUE"""),46211.9784143518)</f>
        <v>46211.978414351797</v>
      </c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ht="15" customHeight="1" x14ac:dyDescent="0.15">
      <c r="A43" s="24">
        <f ca="1">IFERROR(__xludf.DUMMYFUNCTION("""COMPUTED_VALUE"""),46211.9784375)</f>
        <v>46211.978437500002</v>
      </c>
      <c r="B43" s="25" t="str">
        <f ca="1">IFERROR(__xludf.DUMMYFUNCTION("""COMPUTED_VALUE"""),"mrd4lxyovu82lv")</f>
        <v>mrd4lxyovu82lv</v>
      </c>
      <c r="C43" s="25" t="str">
        <f ca="1">IFERROR(__xludf.DUMMYFUNCTION("""COMPUTED_VALUE"""),"রংপুর")</f>
        <v>রংপুর</v>
      </c>
      <c r="D43" s="25" t="str">
        <f ca="1">IFERROR(__xludf.DUMMYFUNCTION("""COMPUTED_VALUE"""),"রংপুর")</f>
        <v>রংপুর</v>
      </c>
      <c r="E43" s="25" t="str">
        <f ca="1">IFERROR(__xludf.DUMMYFUNCTION("""COMPUTED_VALUE"""),"কুড়িগ্রাম")</f>
        <v>কুড়িগ্রাম</v>
      </c>
      <c r="F43" s="25" t="str">
        <f ca="1">IFERROR(__xludf.DUMMYFUNCTION("""COMPUTED_VALUE"""),"কুড়িগ্রাম সদর")</f>
        <v>কুড়িগ্রাম সদর</v>
      </c>
      <c r="G43" s="25" t="str">
        <f ca="1">IFERROR(__xludf.DUMMYFUNCTION("""COMPUTED_VALUE"""),"থানাহাট")</f>
        <v>থানাহাট</v>
      </c>
      <c r="H43" s="25" t="str">
        <f ca="1">IFERROR(__xludf.DUMMYFUNCTION("""COMPUTED_VALUE"""),"সরকারপাড়া")</f>
        <v>সরকারপাড়া</v>
      </c>
      <c r="I43" s="25" t="str">
        <f ca="1">IFERROR(__xludf.DUMMYFUNCTION("""COMPUTED_VALUE"""),"বাড়ি/আঙিনা")</f>
        <v>বাড়ি/আঙিনা</v>
      </c>
      <c r="J43" s="25" t="str">
        <f ca="1">IFERROR(__xludf.DUMMYFUNCTION("""COMPUTED_VALUE"""),"প্রণোদনা")</f>
        <v>প্রণোদনা</v>
      </c>
      <c r="K43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3" s="25">
        <f ca="1">IFERROR(__xludf.DUMMYFUNCTION("""COMPUTED_VALUE"""),25.802832)</f>
        <v>25.802831999999999</v>
      </c>
      <c r="M43" s="25">
        <f ca="1">IFERROR(__xludf.DUMMYFUNCTION("""COMPUTED_VALUE"""),89.638074)</f>
        <v>89.638074000000003</v>
      </c>
      <c r="N43" s="26">
        <f ca="1">IFERROR(__xludf.DUMMYFUNCTION("""COMPUTED_VALUE"""),46212)</f>
        <v>46212</v>
      </c>
      <c r="O43" s="25" t="str">
        <f ca="1">IFERROR(__xludf.DUMMYFUNCTION("""COMPUTED_VALUE"""),"আম")</f>
        <v>আম</v>
      </c>
      <c r="P43" s="25" t="str">
        <f ca="1">IFERROR(__xludf.DUMMYFUNCTION("""COMPUTED_VALUE"""),"ফলদ")</f>
        <v>ফলদ</v>
      </c>
      <c r="Q43" s="25">
        <f ca="1">IFERROR(__xludf.DUMMYFUNCTION("""COMPUTED_VALUE"""),1)</f>
        <v>1</v>
      </c>
      <c r="R43" s="25">
        <f ca="1">IFERROR(__xludf.DUMMYFUNCTION("""COMPUTED_VALUE"""),0.328)</f>
        <v>0.32800000000000001</v>
      </c>
      <c r="S43" s="25"/>
      <c r="T43" s="25"/>
      <c r="U43" s="25" t="str">
        <f ca="1">IFERROR(__xludf.DUMMYFUNCTION("""COMPUTED_VALUE"""),"মোখলেসুর রহমান")</f>
        <v>মোখলেসুর রহমান</v>
      </c>
      <c r="V43" s="25">
        <f ca="1">IFERROR(__xludf.DUMMYFUNCTION("""COMPUTED_VALUE"""),1703450989)</f>
        <v>1703450989</v>
      </c>
      <c r="W43" s="25" t="str">
        <f ca="1">IFERROR(__xludf.DUMMYFUNCTION("""COMPUTED_VALUE"""),"মাহফুজর রহমান")</f>
        <v>মাহফুজর রহমান</v>
      </c>
      <c r="X43" s="25">
        <f ca="1">IFERROR(__xludf.DUMMYFUNCTION("""COMPUTED_VALUE"""),1796786131)</f>
        <v>1796786131</v>
      </c>
      <c r="Y43" s="25" t="str">
        <f ca="1">IFERROR(__xludf.DUMMYFUNCTION("""COMPUTED_VALUE"""),"মোঃ মনিরুজ্জামান")</f>
        <v>মোঃ মনিরুজ্জামান</v>
      </c>
      <c r="Z43" s="25">
        <f ca="1">IFERROR(__xludf.DUMMYFUNCTION("""COMPUTED_VALUE"""),1736576367)</f>
        <v>1736576367</v>
      </c>
      <c r="AA43" s="25"/>
      <c r="AB43" s="25" t="str">
        <f ca="1">IFERROR(__xludf.DUMMYFUNCTION("""COMPUTED_VALUE"""),"615db8a0f4196675a4c950da705827ca")</f>
        <v>615db8a0f4196675a4c950da705827ca</v>
      </c>
      <c r="AC43" s="24">
        <f ca="1">IFERROR(__xludf.DUMMYFUNCTION("""COMPUTED_VALUE"""),46211.9784375)</f>
        <v>46211.978437500002</v>
      </c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</row>
    <row r="44" spans="1:40" ht="15" customHeight="1" x14ac:dyDescent="0.15">
      <c r="A44" s="20">
        <f ca="1">IFERROR(__xludf.DUMMYFUNCTION("""COMPUTED_VALUE"""),46211.9789814814)</f>
        <v>46211.978981481399</v>
      </c>
      <c r="B44" s="21" t="str">
        <f ca="1">IFERROR(__xludf.DUMMYFUNCTION("""COMPUTED_VALUE"""),"mrd4my19nqfooc")</f>
        <v>mrd4my19nqfooc</v>
      </c>
      <c r="C44" s="21" t="str">
        <f ca="1">IFERROR(__xludf.DUMMYFUNCTION("""COMPUTED_VALUE"""),"রংপুর")</f>
        <v>রংপুর</v>
      </c>
      <c r="D44" s="21" t="str">
        <f ca="1">IFERROR(__xludf.DUMMYFUNCTION("""COMPUTED_VALUE"""),"রংপুর")</f>
        <v>রংপুর</v>
      </c>
      <c r="E44" s="21" t="str">
        <f ca="1">IFERROR(__xludf.DUMMYFUNCTION("""COMPUTED_VALUE"""),"কুড়িগ্রাম")</f>
        <v>কুড়িগ্রাম</v>
      </c>
      <c r="F44" s="21" t="str">
        <f ca="1">IFERROR(__xludf.DUMMYFUNCTION("""COMPUTED_VALUE"""),"কুড়িগ্রাম সদর")</f>
        <v>কুড়িগ্রাম সদর</v>
      </c>
      <c r="G44" s="21"/>
      <c r="H44" s="21"/>
      <c r="I44" s="21"/>
      <c r="J44" s="21"/>
      <c r="K44" s="21" t="str">
        <f ca="1">IFERROR(__xludf.DUMMYFUNCTION("""COMPUTED_VALUE"""),"ভাঙ্গা মোড়, ভেতর বন্ধ,  কুড়িগ্রাম জেলা")</f>
        <v>ভাঙ্গা মোড়, ভেতর বন্ধ,  কুড়িগ্রাম জেলা</v>
      </c>
      <c r="L44" s="21">
        <f ca="1">IFERROR(__xludf.DUMMYFUNCTION("""COMPUTED_VALUE"""),25.802449)</f>
        <v>25.802448999999999</v>
      </c>
      <c r="M44" s="21">
        <f ca="1">IFERROR(__xludf.DUMMYFUNCTION("""COMPUTED_VALUE"""),89.637573)</f>
        <v>89.637573000000003</v>
      </c>
      <c r="N44" s="21"/>
      <c r="O44" s="21" t="str">
        <f ca="1">IFERROR(__xludf.DUMMYFUNCTION("""COMPUTED_VALUE"""),"জাম")</f>
        <v>জাম</v>
      </c>
      <c r="P44" s="21" t="str">
        <f ca="1">IFERROR(__xludf.DUMMYFUNCTION("""COMPUTED_VALUE"""),"ফলদ")</f>
        <v>ফলদ</v>
      </c>
      <c r="Q44" s="21">
        <f ca="1">IFERROR(__xludf.DUMMYFUNCTION("""COMPUTED_VALUE"""),30)</f>
        <v>30</v>
      </c>
      <c r="R44" s="21">
        <f ca="1">IFERROR(__xludf.DUMMYFUNCTION("""COMPUTED_VALUE"""),0.417)</f>
        <v>0.41699999999999998</v>
      </c>
      <c r="S44" s="21"/>
      <c r="T44" s="21"/>
      <c r="U44" s="21" t="str">
        <f ca="1">IFERROR(__xludf.DUMMYFUNCTION("""COMPUTED_VALUE"""),"লাভলু")</f>
        <v>লাভলু</v>
      </c>
      <c r="V44" s="21">
        <f ca="1">IFERROR(__xludf.DUMMYFUNCTION("""COMPUTED_VALUE"""),1722677811)</f>
        <v>1722677811</v>
      </c>
      <c r="W44" s="21"/>
      <c r="X44" s="21"/>
      <c r="Y44" s="21" t="str">
        <f ca="1">IFERROR(__xludf.DUMMYFUNCTION("""COMPUTED_VALUE"""),"মোঃ ফিরোজ হোসেন")</f>
        <v>মোঃ ফিরোজ হোসেন</v>
      </c>
      <c r="Z44" s="21">
        <f ca="1">IFERROR(__xludf.DUMMYFUNCTION("""COMPUTED_VALUE"""),1758772809)</f>
        <v>1758772809</v>
      </c>
      <c r="AA44" s="21"/>
      <c r="AB44" s="21" t="str">
        <f ca="1">IFERROR(__xludf.DUMMYFUNCTION("""COMPUTED_VALUE"""),"464626dd941d2a2b72b11f9759e3f88b")</f>
        <v>464626dd941d2a2b72b11f9759e3f88b</v>
      </c>
      <c r="AC44" s="20">
        <f ca="1">IFERROR(__xludf.DUMMYFUNCTION("""COMPUTED_VALUE"""),46211.9789814814)</f>
        <v>46211.978981481399</v>
      </c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ht="15" customHeight="1" x14ac:dyDescent="0.15">
      <c r="A45" s="24">
        <f ca="1">IFERROR(__xludf.DUMMYFUNCTION("""COMPUTED_VALUE"""),46211.9790856481)</f>
        <v>46211.979085648098</v>
      </c>
      <c r="B45" s="25" t="str">
        <f ca="1">IFERROR(__xludf.DUMMYFUNCTION("""COMPUTED_VALUE"""),"mrd4n4kza0mpt9")</f>
        <v>mrd4n4kza0mpt9</v>
      </c>
      <c r="C45" s="25" t="str">
        <f ca="1">IFERROR(__xludf.DUMMYFUNCTION("""COMPUTED_VALUE"""),"রংপুর")</f>
        <v>রংপুর</v>
      </c>
      <c r="D45" s="25" t="str">
        <f ca="1">IFERROR(__xludf.DUMMYFUNCTION("""COMPUTED_VALUE"""),"রংপুর")</f>
        <v>রংপুর</v>
      </c>
      <c r="E45" s="25" t="str">
        <f ca="1">IFERROR(__xludf.DUMMYFUNCTION("""COMPUTED_VALUE"""),"কুড়িগ্রাম")</f>
        <v>কুড়িগ্রাম</v>
      </c>
      <c r="F45" s="25" t="str">
        <f ca="1">IFERROR(__xludf.DUMMYFUNCTION("""COMPUTED_VALUE"""),"কুড়িগ্রাম সদর")</f>
        <v>কুড়িগ্রাম সদর</v>
      </c>
      <c r="G45" s="25"/>
      <c r="H45" s="25"/>
      <c r="I45" s="25"/>
      <c r="J45" s="25"/>
      <c r="K45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5" s="25">
        <f ca="1">IFERROR(__xludf.DUMMYFUNCTION("""COMPUTED_VALUE"""),25.802878)</f>
        <v>25.802878</v>
      </c>
      <c r="M45" s="25">
        <f ca="1">IFERROR(__xludf.DUMMYFUNCTION("""COMPUTED_VALUE"""),89.637934)</f>
        <v>89.637934000000001</v>
      </c>
      <c r="N45" s="25"/>
      <c r="O45" s="25" t="str">
        <f ca="1">IFERROR(__xludf.DUMMYFUNCTION("""COMPUTED_VALUE"""),"আম")</f>
        <v>আম</v>
      </c>
      <c r="P45" s="25" t="str">
        <f ca="1">IFERROR(__xludf.DUMMYFUNCTION("""COMPUTED_VALUE"""),"ফলদ")</f>
        <v>ফলদ</v>
      </c>
      <c r="Q45" s="25">
        <f ca="1">IFERROR(__xludf.DUMMYFUNCTION("""COMPUTED_VALUE"""),1)</f>
        <v>1</v>
      </c>
      <c r="R45" s="25">
        <f ca="1">IFERROR(__xludf.DUMMYFUNCTION("""COMPUTED_VALUE"""),0.288)</f>
        <v>0.28799999999999998</v>
      </c>
      <c r="S45" s="25"/>
      <c r="T45" s="25"/>
      <c r="U45" s="25" t="str">
        <f ca="1">IFERROR(__xludf.DUMMYFUNCTION("""COMPUTED_VALUE"""),"Abad")</f>
        <v>Abad</v>
      </c>
      <c r="V45" s="25">
        <f ca="1">IFERROR(__xludf.DUMMYFUNCTION("""COMPUTED_VALUE"""),1234567899)</f>
        <v>1234567899</v>
      </c>
      <c r="W45" s="25"/>
      <c r="X45" s="25"/>
      <c r="Y45" s="25" t="str">
        <f ca="1">IFERROR(__xludf.DUMMYFUNCTION("""COMPUTED_VALUE"""),"Alina Akhter")</f>
        <v>Alina Akhter</v>
      </c>
      <c r="Z45" s="25">
        <f ca="1">IFERROR(__xludf.DUMMYFUNCTION("""COMPUTED_VALUE"""),1797785954)</f>
        <v>1797785954</v>
      </c>
      <c r="AA45" s="25"/>
      <c r="AB45" s="25" t="str">
        <f ca="1">IFERROR(__xludf.DUMMYFUNCTION("""COMPUTED_VALUE"""),"d249e7a847f749e137d243c2504a84ca")</f>
        <v>d249e7a847f749e137d243c2504a84ca</v>
      </c>
      <c r="AC45" s="24">
        <f ca="1">IFERROR(__xludf.DUMMYFUNCTION("""COMPUTED_VALUE"""),46211.9790856481)</f>
        <v>46211.979085648098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</row>
    <row r="46" spans="1:40" ht="15" customHeight="1" x14ac:dyDescent="0.15">
      <c r="A46" s="20">
        <f ca="1">IFERROR(__xludf.DUMMYFUNCTION("""COMPUTED_VALUE"""),46211.9794907407)</f>
        <v>46211.979490740698</v>
      </c>
      <c r="B46" s="21" t="str">
        <f ca="1">IFERROR(__xludf.DUMMYFUNCTION("""COMPUTED_VALUE"""),"mrd4nuevlxo7xm")</f>
        <v>mrd4nuevlxo7xm</v>
      </c>
      <c r="C46" s="21" t="str">
        <f ca="1">IFERROR(__xludf.DUMMYFUNCTION("""COMPUTED_VALUE"""),"রংপুর")</f>
        <v>রংপুর</v>
      </c>
      <c r="D46" s="21" t="str">
        <f ca="1">IFERROR(__xludf.DUMMYFUNCTION("""COMPUTED_VALUE"""),"রংপুর")</f>
        <v>রংপুর</v>
      </c>
      <c r="E46" s="21" t="str">
        <f ca="1">IFERROR(__xludf.DUMMYFUNCTION("""COMPUTED_VALUE"""),"কুড়িগ্রাম")</f>
        <v>কুড়িগ্রাম</v>
      </c>
      <c r="F46" s="21" t="str">
        <f ca="1">IFERROR(__xludf.DUMMYFUNCTION("""COMPUTED_VALUE"""),"কুড়িগ্রাম সদর")</f>
        <v>কুড়িগ্রাম সদর</v>
      </c>
      <c r="G46" s="21" t="str">
        <f ca="1">IFERROR(__xludf.DUMMYFUNCTION("""COMPUTED_VALUE"""),"পৌরসভা")</f>
        <v>পৌরসভা</v>
      </c>
      <c r="H46" s="21" t="str">
        <f ca="1">IFERROR(__xludf.DUMMYFUNCTION("""COMPUTED_VALUE"""),"বেলগাছা")</f>
        <v>বেলগাছা</v>
      </c>
      <c r="I46" s="21" t="str">
        <f ca="1">IFERROR(__xludf.DUMMYFUNCTION("""COMPUTED_VALUE"""),"বাড়ি/আঙিনা")</f>
        <v>বাড়ি/আঙিনা</v>
      </c>
      <c r="J46" s="21" t="str">
        <f ca="1">IFERROR(__xludf.DUMMYFUNCTION("""COMPUTED_VALUE"""),"প্রণোদনা")</f>
        <v>প্রণোদনা</v>
      </c>
      <c r="K46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6" s="21">
        <f ca="1">IFERROR(__xludf.DUMMYFUNCTION("""COMPUTED_VALUE"""),25.803479)</f>
        <v>25.803478999999999</v>
      </c>
      <c r="M46" s="21">
        <f ca="1">IFERROR(__xludf.DUMMYFUNCTION("""COMPUTED_VALUE"""),89.637668)</f>
        <v>89.637668000000005</v>
      </c>
      <c r="N46" s="22">
        <f ca="1">IFERROR(__xludf.DUMMYFUNCTION("""COMPUTED_VALUE"""),46205)</f>
        <v>46205</v>
      </c>
      <c r="O46" s="21" t="str">
        <f ca="1">IFERROR(__xludf.DUMMYFUNCTION("""COMPUTED_VALUE"""),"আম")</f>
        <v>আম</v>
      </c>
      <c r="P46" s="21" t="str">
        <f ca="1">IFERROR(__xludf.DUMMYFUNCTION("""COMPUTED_VALUE"""),"ফলদ")</f>
        <v>ফলদ</v>
      </c>
      <c r="Q46" s="21">
        <f ca="1">IFERROR(__xludf.DUMMYFUNCTION("""COMPUTED_VALUE"""),1)</f>
        <v>1</v>
      </c>
      <c r="R46" s="21">
        <f ca="1">IFERROR(__xludf.DUMMYFUNCTION("""COMPUTED_VALUE"""),0.334)</f>
        <v>0.33400000000000002</v>
      </c>
      <c r="S46" s="21"/>
      <c r="T46" s="21"/>
      <c r="U46" s="21" t="str">
        <f ca="1">IFERROR(__xludf.DUMMYFUNCTION("""COMPUTED_VALUE"""),"আবুল")</f>
        <v>আবুল</v>
      </c>
      <c r="V46" s="21">
        <f ca="1">IFERROR(__xludf.DUMMYFUNCTION("""COMPUTED_VALUE"""),1725505536)</f>
        <v>1725505536</v>
      </c>
      <c r="W46" s="21" t="str">
        <f ca="1">IFERROR(__xludf.DUMMYFUNCTION("""COMPUTED_VALUE"""),"রাসেল")</f>
        <v>রাসেল</v>
      </c>
      <c r="X46" s="21"/>
      <c r="Y46" s="21" t="str">
        <f ca="1">IFERROR(__xludf.DUMMYFUNCTION("""COMPUTED_VALUE"""),"হৈমন্তী রানী")</f>
        <v>হৈমন্তী রানী</v>
      </c>
      <c r="Z46" s="21">
        <f ca="1">IFERROR(__xludf.DUMMYFUNCTION("""COMPUTED_VALUE"""),1745506522)</f>
        <v>1745506522</v>
      </c>
      <c r="AA46" s="21"/>
      <c r="AB46" s="21" t="str">
        <f ca="1">IFERROR(__xludf.DUMMYFUNCTION("""COMPUTED_VALUE"""),"9eb9a5b6964a1e1aaa9483a5135eb8c0")</f>
        <v>9eb9a5b6964a1e1aaa9483a5135eb8c0</v>
      </c>
      <c r="AC46" s="20">
        <f ca="1">IFERROR(__xludf.DUMMYFUNCTION("""COMPUTED_VALUE"""),46211.9794907407)</f>
        <v>46211.979490740698</v>
      </c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spans="1:40" ht="15" customHeight="1" x14ac:dyDescent="0.15">
      <c r="A47" s="24">
        <f ca="1">IFERROR(__xludf.DUMMYFUNCTION("""COMPUTED_VALUE"""),46211.9798726851)</f>
        <v>46211.9798726851</v>
      </c>
      <c r="B47" s="25" t="str">
        <f ca="1">IFERROR(__xludf.DUMMYFUNCTION("""COMPUTED_VALUE"""),"mrd4ok0phz35ay")</f>
        <v>mrd4ok0phz35ay</v>
      </c>
      <c r="C47" s="25" t="str">
        <f ca="1">IFERROR(__xludf.DUMMYFUNCTION("""COMPUTED_VALUE"""),"রংপুর")</f>
        <v>রংপুর</v>
      </c>
      <c r="D47" s="25" t="str">
        <f ca="1">IFERROR(__xludf.DUMMYFUNCTION("""COMPUTED_VALUE"""),"রংপুর")</f>
        <v>রংপুর</v>
      </c>
      <c r="E47" s="25" t="str">
        <f ca="1">IFERROR(__xludf.DUMMYFUNCTION("""COMPUTED_VALUE"""),"কুড়িগ্রাম")</f>
        <v>কুড়িগ্রাম</v>
      </c>
      <c r="F47" s="25" t="str">
        <f ca="1">IFERROR(__xludf.DUMMYFUNCTION("""COMPUTED_VALUE"""),"কুড়িগ্রাম সদর")</f>
        <v>কুড়িগ্রাম সদর</v>
      </c>
      <c r="G47" s="25" t="str">
        <f ca="1">IFERROR(__xludf.DUMMYFUNCTION("""COMPUTED_VALUE"""),"কাঠালবাড়ি")</f>
        <v>কাঠালবাড়ি</v>
      </c>
      <c r="H47" s="25" t="str">
        <f ca="1">IFERROR(__xludf.DUMMYFUNCTION("""COMPUTED_VALUE"""),"রায়পুর")</f>
        <v>রায়পুর</v>
      </c>
      <c r="I47" s="25" t="str">
        <f ca="1">IFERROR(__xludf.DUMMYFUNCTION("""COMPUTED_VALUE"""),"বাড়ি/আঙিনা")</f>
        <v>বাড়ি/আঙিনা</v>
      </c>
      <c r="J47" s="25" t="str">
        <f ca="1">IFERROR(__xludf.DUMMYFUNCTION("""COMPUTED_VALUE"""),"প্রদর্শনী")</f>
        <v>প্রদর্শনী</v>
      </c>
      <c r="K47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7" s="25">
        <f ca="1">IFERROR(__xludf.DUMMYFUNCTION("""COMPUTED_VALUE"""),25.803489)</f>
        <v>25.803488999999999</v>
      </c>
      <c r="M47" s="25">
        <f ca="1">IFERROR(__xludf.DUMMYFUNCTION("""COMPUTED_VALUE"""),89.637743)</f>
        <v>89.637743</v>
      </c>
      <c r="N47" s="26">
        <f ca="1">IFERROR(__xludf.DUMMYFUNCTION("""COMPUTED_VALUE"""),46212)</f>
        <v>46212</v>
      </c>
      <c r="O47" s="25" t="str">
        <f ca="1">IFERROR(__xludf.DUMMYFUNCTION("""COMPUTED_VALUE"""),"আম")</f>
        <v>আম</v>
      </c>
      <c r="P47" s="25" t="str">
        <f ca="1">IFERROR(__xludf.DUMMYFUNCTION("""COMPUTED_VALUE"""),"ফলদ")</f>
        <v>ফলদ</v>
      </c>
      <c r="Q47" s="25">
        <f ca="1">IFERROR(__xludf.DUMMYFUNCTION("""COMPUTED_VALUE"""),1)</f>
        <v>1</v>
      </c>
      <c r="R47" s="25">
        <f ca="1">IFERROR(__xludf.DUMMYFUNCTION("""COMPUTED_VALUE"""),0.407)</f>
        <v>0.40699999999999997</v>
      </c>
      <c r="S47" s="25"/>
      <c r="T47" s="25"/>
      <c r="U47" s="25" t="str">
        <f ca="1">IFERROR(__xludf.DUMMYFUNCTION("""COMPUTED_VALUE"""),"জয়ন্তী রানী")</f>
        <v>জয়ন্তী রানী</v>
      </c>
      <c r="V47" s="25">
        <f ca="1">IFERROR(__xludf.DUMMYFUNCTION("""COMPUTED_VALUE"""),1737665332)</f>
        <v>1737665332</v>
      </c>
      <c r="W47" s="25" t="str">
        <f ca="1">IFERROR(__xludf.DUMMYFUNCTION("""COMPUTED_VALUE"""),"মো: নূর আলম")</f>
        <v>মো: নূর আলম</v>
      </c>
      <c r="X47" s="25">
        <f ca="1">IFERROR(__xludf.DUMMYFUNCTION("""COMPUTED_VALUE"""),1737665332)</f>
        <v>1737665332</v>
      </c>
      <c r="Y47" s="25" t="str">
        <f ca="1">IFERROR(__xludf.DUMMYFUNCTION("""COMPUTED_VALUE"""),"দিপু রায")</f>
        <v>দিপু রায</v>
      </c>
      <c r="Z47" s="25">
        <f ca="1">IFERROR(__xludf.DUMMYFUNCTION("""COMPUTED_VALUE"""),1737665331)</f>
        <v>1737665331</v>
      </c>
      <c r="AA47" s="25"/>
      <c r="AB47" s="25" t="str">
        <f ca="1">IFERROR(__xludf.DUMMYFUNCTION("""COMPUTED_VALUE"""),"dcece8dbed123ed1e4b6fa2508890d28")</f>
        <v>dcece8dbed123ed1e4b6fa2508890d28</v>
      </c>
      <c r="AC47" s="24">
        <f ca="1">IFERROR(__xludf.DUMMYFUNCTION("""COMPUTED_VALUE"""),46211.9798726851)</f>
        <v>46211.9798726851</v>
      </c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</row>
    <row r="48" spans="1:40" ht="15" customHeight="1" x14ac:dyDescent="0.15">
      <c r="A48" s="20">
        <f ca="1">IFERROR(__xludf.DUMMYFUNCTION("""COMPUTED_VALUE"""),46211.9801504629)</f>
        <v>46211.980150462899</v>
      </c>
      <c r="B48" s="21" t="str">
        <f ca="1">IFERROR(__xludf.DUMMYFUNCTION("""COMPUTED_VALUE"""),"mrd4p3xa00na02")</f>
        <v>mrd4p3xa00na02</v>
      </c>
      <c r="C48" s="21" t="str">
        <f ca="1">IFERROR(__xludf.DUMMYFUNCTION("""COMPUTED_VALUE"""),"রংপুর")</f>
        <v>রংপুর</v>
      </c>
      <c r="D48" s="21" t="str">
        <f ca="1">IFERROR(__xludf.DUMMYFUNCTION("""COMPUTED_VALUE"""),"রংপুর")</f>
        <v>রংপুর</v>
      </c>
      <c r="E48" s="21" t="str">
        <f ca="1">IFERROR(__xludf.DUMMYFUNCTION("""COMPUTED_VALUE"""),"কুড়িগ্রাম")</f>
        <v>কুড়িগ্রাম</v>
      </c>
      <c r="F48" s="21" t="str">
        <f ca="1">IFERROR(__xludf.DUMMYFUNCTION("""COMPUTED_VALUE"""),"ফুলবাড়ী")</f>
        <v>ফুলবাড়ী</v>
      </c>
      <c r="G48" s="21" t="str">
        <f ca="1">IFERROR(__xludf.DUMMYFUNCTION("""COMPUTED_VALUE"""),"নাওডাংগা")</f>
        <v>নাওডাংগা</v>
      </c>
      <c r="H48" s="21" t="str">
        <f ca="1">IFERROR(__xludf.DUMMYFUNCTION("""COMPUTED_VALUE"""),"ফুলমতি")</f>
        <v>ফুলমতি</v>
      </c>
      <c r="I48" s="21" t="str">
        <f ca="1">IFERROR(__xludf.DUMMYFUNCTION("""COMPUTED_VALUE"""),"বাড়ি/আঙিনা")</f>
        <v>বাড়ি/আঙিনা</v>
      </c>
      <c r="J48" s="21" t="str">
        <f ca="1">IFERROR(__xludf.DUMMYFUNCTION("""COMPUTED_VALUE"""),"প্রণোদনা")</f>
        <v>প্রণোদনা</v>
      </c>
      <c r="K48" s="21" t="str">
        <f ca="1">IFERROR(__xludf.DUMMYFUNCTION("""COMPUTED_VALUE"""),"ফুলমতি, নাওডাংগা, ফুলবাড়ি, কুড়িগ্রাম জেলা")</f>
        <v>ফুলমতি, নাওডাংগা, ফুলবাড়ি, কুড়িগ্রাম জেলা</v>
      </c>
      <c r="L48" s="21">
        <f ca="1">IFERROR(__xludf.DUMMYFUNCTION("""COMPUTED_VALUE"""),25.802847)</f>
        <v>25.802847</v>
      </c>
      <c r="M48" s="21">
        <f ca="1">IFERROR(__xludf.DUMMYFUNCTION("""COMPUTED_VALUE"""),89.638053)</f>
        <v>89.638052999999999</v>
      </c>
      <c r="N48" s="22">
        <f ca="1">IFERROR(__xludf.DUMMYFUNCTION("""COMPUTED_VALUE"""),46205)</f>
        <v>46205</v>
      </c>
      <c r="O48" s="21" t="str">
        <f ca="1">IFERROR(__xludf.DUMMYFUNCTION("""COMPUTED_VALUE"""),"লেবু")</f>
        <v>লেবু</v>
      </c>
      <c r="P48" s="21" t="str">
        <f ca="1">IFERROR(__xludf.DUMMYFUNCTION("""COMPUTED_VALUE"""),"ফলদ")</f>
        <v>ফলদ</v>
      </c>
      <c r="Q48" s="21">
        <f ca="1">IFERROR(__xludf.DUMMYFUNCTION("""COMPUTED_VALUE"""),2)</f>
        <v>2</v>
      </c>
      <c r="R48" s="21">
        <f ca="1">IFERROR(__xludf.DUMMYFUNCTION("""COMPUTED_VALUE"""),0.313)</f>
        <v>0.313</v>
      </c>
      <c r="S48" s="21"/>
      <c r="T48" s="21"/>
      <c r="U48" s="21" t="str">
        <f ca="1">IFERROR(__xludf.DUMMYFUNCTION("""COMPUTED_VALUE"""),"ওসমান গনি")</f>
        <v>ওসমান গনি</v>
      </c>
      <c r="V48" s="21">
        <f ca="1">IFERROR(__xludf.DUMMYFUNCTION("""COMPUTED_VALUE"""),1733452846)</f>
        <v>1733452846</v>
      </c>
      <c r="W48" s="21" t="str">
        <f ca="1">IFERROR(__xludf.DUMMYFUNCTION("""COMPUTED_VALUE"""),"আসাদুজ্জামান")</f>
        <v>আসাদুজ্জামান</v>
      </c>
      <c r="X48" s="21">
        <f ca="1">IFERROR(__xludf.DUMMYFUNCTION("""COMPUTED_VALUE"""),1738227622)</f>
        <v>1738227622</v>
      </c>
      <c r="Y48" s="21" t="str">
        <f ca="1">IFERROR(__xludf.DUMMYFUNCTION("""COMPUTED_VALUE"""),"মো: আব্দুল্লাহ আল মামুন")</f>
        <v>মো: আব্দুল্লাহ আল মামুন</v>
      </c>
      <c r="Z48" s="21">
        <f ca="1">IFERROR(__xludf.DUMMYFUNCTION("""COMPUTED_VALUE"""),1710474405)</f>
        <v>1710474405</v>
      </c>
      <c r="AA48" s="21"/>
      <c r="AB48" s="21" t="str">
        <f ca="1">IFERROR(__xludf.DUMMYFUNCTION("""COMPUTED_VALUE"""),"173e4004e2a4e3463d242eadbf6b1f92")</f>
        <v>173e4004e2a4e3463d242eadbf6b1f92</v>
      </c>
      <c r="AC48" s="20">
        <f ca="1">IFERROR(__xludf.DUMMYFUNCTION("""COMPUTED_VALUE"""),46211.9801504629)</f>
        <v>46211.980150462899</v>
      </c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ht="15" customHeight="1" x14ac:dyDescent="0.15">
      <c r="A49" s="24">
        <f ca="1">IFERROR(__xludf.DUMMYFUNCTION("""COMPUTED_VALUE"""),46211.9804282407)</f>
        <v>46211.980428240699</v>
      </c>
      <c r="B49" s="25" t="str">
        <f ca="1">IFERROR(__xludf.DUMMYFUNCTION("""COMPUTED_VALUE"""),"mrd5byipv6xeji")</f>
        <v>mrd5byipv6xeji</v>
      </c>
      <c r="C49" s="25" t="str">
        <f ca="1">IFERROR(__xludf.DUMMYFUNCTION("""COMPUTED_VALUE"""),"রংপুর")</f>
        <v>রংপুর</v>
      </c>
      <c r="D49" s="25" t="str">
        <f ca="1">IFERROR(__xludf.DUMMYFUNCTION("""COMPUTED_VALUE"""),"রংপুর")</f>
        <v>রংপুর</v>
      </c>
      <c r="E49" s="25" t="str">
        <f ca="1">IFERROR(__xludf.DUMMYFUNCTION("""COMPUTED_VALUE"""),"কুড়িগ্রাম")</f>
        <v>কুড়িগ্রাম</v>
      </c>
      <c r="F49" s="25" t="str">
        <f ca="1">IFERROR(__xludf.DUMMYFUNCTION("""COMPUTED_VALUE"""),"উলিপুর")</f>
        <v>উলিপুর</v>
      </c>
      <c r="G49" s="25" t="str">
        <f ca="1">IFERROR(__xludf.DUMMYFUNCTION("""COMPUTED_VALUE"""),"পৌরসভা")</f>
        <v>পৌরসভা</v>
      </c>
      <c r="H49" s="25" t="str">
        <f ca="1">IFERROR(__xludf.DUMMYFUNCTION("""COMPUTED_VALUE"""),"হায়াত খা")</f>
        <v>হায়াত খা</v>
      </c>
      <c r="I49" s="25" t="str">
        <f ca="1">IFERROR(__xludf.DUMMYFUNCTION("""COMPUTED_VALUE"""),"অন্যান্য")</f>
        <v>অন্যান্য</v>
      </c>
      <c r="J49" s="25" t="str">
        <f ca="1">IFERROR(__xludf.DUMMYFUNCTION("""COMPUTED_VALUE"""),"প্রদর্শনী")</f>
        <v>প্রদর্শনী</v>
      </c>
      <c r="K49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9" s="25">
        <f ca="1">IFERROR(__xludf.DUMMYFUNCTION("""COMPUTED_VALUE"""),25.802921)</f>
        <v>25.802921000000001</v>
      </c>
      <c r="M49" s="25">
        <f ca="1">IFERROR(__xludf.DUMMYFUNCTION("""COMPUTED_VALUE"""),89.637911)</f>
        <v>89.637911000000003</v>
      </c>
      <c r="N49" s="26">
        <f ca="1">IFERROR(__xludf.DUMMYFUNCTION("""COMPUTED_VALUE"""),46210)</f>
        <v>46210</v>
      </c>
      <c r="O49" s="25" t="str">
        <f ca="1">IFERROR(__xludf.DUMMYFUNCTION("""COMPUTED_VALUE"""),"আম")</f>
        <v>আম</v>
      </c>
      <c r="P49" s="25" t="str">
        <f ca="1">IFERROR(__xludf.DUMMYFUNCTION("""COMPUTED_VALUE"""),"ফলদ")</f>
        <v>ফলদ</v>
      </c>
      <c r="Q49" s="25">
        <f ca="1">IFERROR(__xludf.DUMMYFUNCTION("""COMPUTED_VALUE"""),5)</f>
        <v>5</v>
      </c>
      <c r="R49" s="25">
        <f ca="1">IFERROR(__xludf.DUMMYFUNCTION("""COMPUTED_VALUE"""),0.42)</f>
        <v>0.42</v>
      </c>
      <c r="S49" s="25"/>
      <c r="T49" s="25"/>
      <c r="U49" s="25" t="str">
        <f ca="1">IFERROR(__xludf.DUMMYFUNCTION("""COMPUTED_VALUE"""),"নবিউল")</f>
        <v>নবিউল</v>
      </c>
      <c r="V49" s="25">
        <f ca="1">IFERROR(__xludf.DUMMYFUNCTION("""COMPUTED_VALUE"""),1741457151)</f>
        <v>1741457151</v>
      </c>
      <c r="W49" s="25" t="str">
        <f ca="1">IFERROR(__xludf.DUMMYFUNCTION("""COMPUTED_VALUE"""),"শওকত আলী")</f>
        <v>শওকত আলী</v>
      </c>
      <c r="X49" s="25">
        <f ca="1">IFERROR(__xludf.DUMMYFUNCTION("""COMPUTED_VALUE"""),1374147151)</f>
        <v>1374147151</v>
      </c>
      <c r="Y49" s="25" t="str">
        <f ca="1">IFERROR(__xludf.DUMMYFUNCTION("""COMPUTED_VALUE"""),"মোছাঃ খালেদা খাতুন")</f>
        <v>মোছাঃ খালেদা খাতুন</v>
      </c>
      <c r="Z49" s="25">
        <f ca="1">IFERROR(__xludf.DUMMYFUNCTION("""COMPUTED_VALUE"""),1334031177)</f>
        <v>1334031177</v>
      </c>
      <c r="AA49" s="25"/>
      <c r="AB49" s="25" t="str">
        <f ca="1">IFERROR(__xludf.DUMMYFUNCTION("""COMPUTED_VALUE"""),"2839e19d591235b2350849f466b35734")</f>
        <v>2839e19d591235b2350849f466b35734</v>
      </c>
      <c r="AC49" s="24">
        <f ca="1">IFERROR(__xludf.DUMMYFUNCTION("""COMPUTED_VALUE"""),46211.9804282407)</f>
        <v>46211.980428240699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</row>
    <row r="50" spans="1:40" ht="15" customHeight="1" x14ac:dyDescent="0.15">
      <c r="A50" s="20">
        <f ca="1">IFERROR(__xludf.DUMMYFUNCTION("""COMPUTED_VALUE"""),46211.9814236111)</f>
        <v>46211.981423611098</v>
      </c>
      <c r="B50" s="21" t="str">
        <f ca="1">IFERROR(__xludf.DUMMYFUNCTION("""COMPUTED_VALUE"""),"mrd4rgl7wb00uo")</f>
        <v>mrd4rgl7wb00uo</v>
      </c>
      <c r="C50" s="21" t="str">
        <f ca="1">IFERROR(__xludf.DUMMYFUNCTION("""COMPUTED_VALUE"""),"রংপুর")</f>
        <v>রংপুর</v>
      </c>
      <c r="D50" s="21" t="str">
        <f ca="1">IFERROR(__xludf.DUMMYFUNCTION("""COMPUTED_VALUE"""),"রংপুর")</f>
        <v>রংপুর</v>
      </c>
      <c r="E50" s="21" t="str">
        <f ca="1">IFERROR(__xludf.DUMMYFUNCTION("""COMPUTED_VALUE"""),"কুড়িগ্রাম")</f>
        <v>কুড়িগ্রাম</v>
      </c>
      <c r="F50" s="21" t="str">
        <f ca="1">IFERROR(__xludf.DUMMYFUNCTION("""COMPUTED_VALUE"""),"কুড়িগ্রাম সদর")</f>
        <v>কুড়িগ্রাম সদর</v>
      </c>
      <c r="G50" s="21"/>
      <c r="H50" s="21"/>
      <c r="I50" s="21"/>
      <c r="J50" s="21" t="str">
        <f ca="1">IFERROR(__xludf.DUMMYFUNCTION("""COMPUTED_VALUE"""),"নিজস্ব")</f>
        <v>নিজস্ব</v>
      </c>
      <c r="K50" s="21" t="str">
        <f ca="1">IFERROR(__xludf.DUMMYFUNCTION("""COMPUTED_VALUE"""),"চিলমারী উপজেলা পরিষদ")</f>
        <v>চিলমারী উপজেলা পরিষদ</v>
      </c>
      <c r="L50" s="21">
        <f ca="1">IFERROR(__xludf.DUMMYFUNCTION("""COMPUTED_VALUE"""),25.802882)</f>
        <v>25.802882</v>
      </c>
      <c r="M50" s="21">
        <f ca="1">IFERROR(__xludf.DUMMYFUNCTION("""COMPUTED_VALUE"""),89.637927)</f>
        <v>89.637927000000005</v>
      </c>
      <c r="N50" s="22">
        <f ca="1">IFERROR(__xludf.DUMMYFUNCTION("""COMPUTED_VALUE"""),46204)</f>
        <v>46204</v>
      </c>
      <c r="O50" s="21" t="str">
        <f ca="1">IFERROR(__xludf.DUMMYFUNCTION("""COMPUTED_VALUE"""),"আম")</f>
        <v>আম</v>
      </c>
      <c r="P50" s="21" t="str">
        <f ca="1">IFERROR(__xludf.DUMMYFUNCTION("""COMPUTED_VALUE"""),"ফলদ")</f>
        <v>ফলদ</v>
      </c>
      <c r="Q50" s="21">
        <f ca="1">IFERROR(__xludf.DUMMYFUNCTION("""COMPUTED_VALUE"""),5)</f>
        <v>5</v>
      </c>
      <c r="R50" s="21">
        <f ca="1">IFERROR(__xludf.DUMMYFUNCTION("""COMPUTED_VALUE"""),0.295)</f>
        <v>0.29499999999999998</v>
      </c>
      <c r="S50" s="21"/>
      <c r="T50" s="21"/>
      <c r="U50" s="21" t="str">
        <f ca="1">IFERROR(__xludf.DUMMYFUNCTION("""COMPUTED_VALUE"""),"মোঃ সারওয়ার হোসেন")</f>
        <v>মোঃ সারওয়ার হোসেন</v>
      </c>
      <c r="V50" s="21">
        <f ca="1">IFERROR(__xludf.DUMMYFUNCTION("""COMPUTED_VALUE"""),1737358851)</f>
        <v>1737358851</v>
      </c>
      <c r="W50" s="21"/>
      <c r="X50" s="21"/>
      <c r="Y50" s="21" t="str">
        <f ca="1">IFERROR(__xludf.DUMMYFUNCTION("""COMPUTED_VALUE"""),"মোঃ৷  সারওয়ার হোসেন")</f>
        <v>মোঃ৷  সারওয়ার হোসেন</v>
      </c>
      <c r="Z50" s="21">
        <f ca="1">IFERROR(__xludf.DUMMYFUNCTION("""COMPUTED_VALUE"""),1737358851)</f>
        <v>1737358851</v>
      </c>
      <c r="AA50" s="21"/>
      <c r="AB50" s="21" t="str">
        <f ca="1">IFERROR(__xludf.DUMMYFUNCTION("""COMPUTED_VALUE"""),"f42da6c47aacbf6999695521584aff64")</f>
        <v>f42da6c47aacbf6999695521584aff64</v>
      </c>
      <c r="AC50" s="20">
        <f ca="1">IFERROR(__xludf.DUMMYFUNCTION("""COMPUTED_VALUE"""),46211.9814236111)</f>
        <v>46211.981423611098</v>
      </c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spans="1:40" ht="15" customHeight="1" x14ac:dyDescent="0.15">
      <c r="A51" s="25" t="str">
        <f ca="1">IFERROR(__xludf.DUMMYFUNCTION("""COMPUTED_VALUE"""),"2026-07-09T10:46:43.893Z")</f>
        <v>2026-07-09T10:46:43.893Z</v>
      </c>
      <c r="B51" s="25"/>
      <c r="C51" s="25"/>
      <c r="D51" s="25"/>
      <c r="E51" s="25" t="str">
        <f ca="1">IFERROR(__xludf.DUMMYFUNCTION("""COMPUTED_VALUE"""),"খুলনা")</f>
        <v>খুলনা</v>
      </c>
      <c r="F51" s="25" t="str">
        <f ca="1">IFERROR(__xludf.DUMMYFUNCTION("""COMPUTED_VALUE"""),"ডুমুরিয়া")</f>
        <v>ডুমুরিয়া</v>
      </c>
      <c r="G51" s="25" t="str">
        <f ca="1">IFERROR(__xludf.DUMMYFUNCTION("""COMPUTED_VALUE"""),"খর্ণিয়া")</f>
        <v>খর্ণিয়া</v>
      </c>
      <c r="H51" s="25"/>
      <c r="I51" s="25"/>
      <c r="J51" s="25"/>
      <c r="K51" s="25"/>
      <c r="L51" s="25"/>
      <c r="M51" s="25"/>
      <c r="N51" s="25"/>
      <c r="O51" s="25"/>
      <c r="P51" s="25"/>
      <c r="Q51" s="25">
        <f ca="1">IFERROR(__xludf.DUMMYFUNCTION("""COMPUTED_VALUE"""),0)</f>
        <v>0</v>
      </c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 t="str">
        <f ca="1">IFERROR(__xludf.DUMMYFUNCTION("""COMPUTED_VALUE"""),"496eda84f786b4ccef146e151d4c706b")</f>
        <v>496eda84f786b4ccef146e151d4c706b</v>
      </c>
      <c r="AC51" s="25" t="str">
        <f ca="1">IFERROR(__xludf.DUMMYFUNCTION("""COMPUTED_VALUE"""),"2026-07-09T10:46:43.893Z")</f>
        <v>2026-07-09T10:46:43.893Z</v>
      </c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spans="1:40" ht="15" customHeight="1" x14ac:dyDescent="0.15">
      <c r="A52" s="21" t="str">
        <f ca="1">IFERROR(__xludf.DUMMYFUNCTION("""COMPUTED_VALUE"""),"2026-07-09T10:54:38.362Z")</f>
        <v>2026-07-09T10:54:38.362Z</v>
      </c>
      <c r="B52" s="21"/>
      <c r="C52" s="21"/>
      <c r="D52" s="21"/>
      <c r="E52" s="21" t="str">
        <f ca="1">IFERROR(__xludf.DUMMYFUNCTION("""COMPUTED_VALUE"""),"খুলনা")</f>
        <v>খুলনা</v>
      </c>
      <c r="F52" s="21" t="str">
        <f ca="1">IFERROR(__xludf.DUMMYFUNCTION("""COMPUTED_VALUE"""),"রূপসা")</f>
        <v>রূপসা</v>
      </c>
      <c r="G52" s="21" t="str">
        <f ca="1">IFERROR(__xludf.DUMMYFUNCTION("""COMPUTED_VALUE"""),"আইচগাতি")</f>
        <v>আইচগাতি</v>
      </c>
      <c r="H52" s="21"/>
      <c r="I52" s="21"/>
      <c r="J52" s="21"/>
      <c r="K52" s="21"/>
      <c r="L52" s="21"/>
      <c r="M52" s="21"/>
      <c r="N52" s="21"/>
      <c r="O52" s="21"/>
      <c r="P52" s="21"/>
      <c r="Q52" s="21">
        <f ca="1">IFERROR(__xludf.DUMMYFUNCTION("""COMPUTED_VALUE"""),0)</f>
        <v>0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 t="str">
        <f ca="1">IFERROR(__xludf.DUMMYFUNCTION("""COMPUTED_VALUE"""),"496eda84f786b4ccef146e151d4c706b")</f>
        <v>496eda84f786b4ccef146e151d4c706b</v>
      </c>
      <c r="AC52" s="21" t="str">
        <f ca="1">IFERROR(__xludf.DUMMYFUNCTION("""COMPUTED_VALUE"""),"2026-07-09T10:54:38.362Z")</f>
        <v>2026-07-09T10:54:38.362Z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15" customHeight="1" x14ac:dyDescent="0.15">
      <c r="A53" s="25" t="str">
        <f ca="1">IFERROR(__xludf.DUMMYFUNCTION("""COMPUTED_VALUE"""),"2026-07-09T11:01:32.910Z")</f>
        <v>2026-07-09T11:01:32.910Z</v>
      </c>
      <c r="B53" s="25"/>
      <c r="C53" s="25"/>
      <c r="D53" s="25"/>
      <c r="E53" s="25" t="str">
        <f ca="1">IFERROR(__xludf.DUMMYFUNCTION("""COMPUTED_VALUE"""),"লালমনিরহাট")</f>
        <v>লালমনিরহাট</v>
      </c>
      <c r="F53" s="25" t="str">
        <f ca="1">IFERROR(__xludf.DUMMYFUNCTION("""COMPUTED_VALUE"""),"পাটগ্রাম")</f>
        <v>পাটগ্রাম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>
        <f ca="1">IFERROR(__xludf.DUMMYFUNCTION("""COMPUTED_VALUE"""),0)</f>
        <v>0</v>
      </c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 t="str">
        <f ca="1">IFERROR(__xludf.DUMMYFUNCTION("""COMPUTED_VALUE"""),"496eda84f786b4ccef146e151d4c706b")</f>
        <v>496eda84f786b4ccef146e151d4c706b</v>
      </c>
      <c r="AC53" s="25" t="str">
        <f ca="1">IFERROR(__xludf.DUMMYFUNCTION("""COMPUTED_VALUE"""),"2026-07-09T11:01:32.910Z")</f>
        <v>2026-07-09T11:01:32.910Z</v>
      </c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spans="1:40" ht="15" customHeight="1" x14ac:dyDescent="0.15">
      <c r="A54" s="21" t="str">
        <f ca="1">IFERROR(__xludf.DUMMYFUNCTION("""COMPUTED_VALUE"""),"2026-07-09T11:01:38.158Z")</f>
        <v>2026-07-09T11:01:38.158Z</v>
      </c>
      <c r="B54" s="21"/>
      <c r="C54" s="21"/>
      <c r="D54" s="21"/>
      <c r="E54" s="21" t="str">
        <f ca="1">IFERROR(__xludf.DUMMYFUNCTION("""COMPUTED_VALUE"""),"লালমনিরহাট")</f>
        <v>লালমনিরহাট</v>
      </c>
      <c r="F54" s="21" t="str">
        <f ca="1">IFERROR(__xludf.DUMMYFUNCTION("""COMPUTED_VALUE"""),"পাটগ্রাম")</f>
        <v>পাটগ্রাম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>
        <f ca="1">IFERROR(__xludf.DUMMYFUNCTION("""COMPUTED_VALUE"""),0)</f>
        <v>0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tr">
        <f ca="1">IFERROR(__xludf.DUMMYFUNCTION("""COMPUTED_VALUE"""),"496eda84f786b4ccef146e151d4c706b")</f>
        <v>496eda84f786b4ccef146e151d4c706b</v>
      </c>
      <c r="AC54" s="21" t="str">
        <f ca="1">IFERROR(__xludf.DUMMYFUNCTION("""COMPUTED_VALUE"""),"2026-07-09T11:01:38.158Z")</f>
        <v>2026-07-09T11:01:38.158Z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15" customHeight="1" x14ac:dyDescent="0.15">
      <c r="A55" s="25" t="str">
        <f ca="1">IFERROR(__xludf.DUMMYFUNCTION("""COMPUTED_VALUE"""),"2026-07-09T11:02:03.719Z")</f>
        <v>2026-07-09T11:02:03.719Z</v>
      </c>
      <c r="B55" s="25"/>
      <c r="C55" s="25"/>
      <c r="D55" s="25"/>
      <c r="E55" s="25" t="str">
        <f ca="1">IFERROR(__xludf.DUMMYFUNCTION("""COMPUTED_VALUE"""),"খুলনা")</f>
        <v>খুলনা</v>
      </c>
      <c r="F55" s="25" t="str">
        <f ca="1">IFERROR(__xludf.DUMMYFUNCTION("""COMPUTED_VALUE"""),"রূপসা")</f>
        <v>রূপসা</v>
      </c>
      <c r="G55" s="25" t="str">
        <f ca="1">IFERROR(__xludf.DUMMYFUNCTION("""COMPUTED_VALUE"""),"শ্রীফলতলা")</f>
        <v>শ্রীফলতলা</v>
      </c>
      <c r="H55" s="25"/>
      <c r="I55" s="25"/>
      <c r="J55" s="25"/>
      <c r="K55" s="25"/>
      <c r="L55" s="25"/>
      <c r="M55" s="25"/>
      <c r="N55" s="25"/>
      <c r="O55" s="25"/>
      <c r="P55" s="25"/>
      <c r="Q55" s="25">
        <f ca="1">IFERROR(__xludf.DUMMYFUNCTION("""COMPUTED_VALUE"""),0)</f>
        <v>0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 t="str">
        <f ca="1">IFERROR(__xludf.DUMMYFUNCTION("""COMPUTED_VALUE"""),"496eda84f786b4ccef146e151d4c706b")</f>
        <v>496eda84f786b4ccef146e151d4c706b</v>
      </c>
      <c r="AC55" s="25" t="str">
        <f ca="1">IFERROR(__xludf.DUMMYFUNCTION("""COMPUTED_VALUE"""),"2026-07-09T11:02:03.719Z")</f>
        <v>2026-07-09T11:02:03.719Z</v>
      </c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spans="1:40" ht="15" customHeight="1" x14ac:dyDescent="0.15">
      <c r="A56" s="21" t="str">
        <f ca="1">IFERROR(__xludf.DUMMYFUNCTION("""COMPUTED_VALUE"""),"2026-07-09T11:05:55.943Z")</f>
        <v>2026-07-09T11:05:55.943Z</v>
      </c>
      <c r="B56" s="21"/>
      <c r="C56" s="21"/>
      <c r="D56" s="21"/>
      <c r="E56" s="21" t="str">
        <f ca="1">IFERROR(__xludf.DUMMYFUNCTION("""COMPUTED_VALUE"""),"খুলনা")</f>
        <v>খুলনা</v>
      </c>
      <c r="F56" s="21" t="str">
        <f ca="1">IFERROR(__xludf.DUMMYFUNCTION("""COMPUTED_VALUE"""),"রূপসা")</f>
        <v>রূপসা</v>
      </c>
      <c r="G56" s="21" t="str">
        <f ca="1">IFERROR(__xludf.DUMMYFUNCTION("""COMPUTED_VALUE"""),"টি এস বি")</f>
        <v>টি এস বি</v>
      </c>
      <c r="H56" s="21"/>
      <c r="I56" s="21"/>
      <c r="J56" s="21"/>
      <c r="K56" s="21"/>
      <c r="L56" s="21"/>
      <c r="M56" s="21"/>
      <c r="N56" s="21"/>
      <c r="O56" s="21"/>
      <c r="P56" s="21"/>
      <c r="Q56" s="21">
        <f ca="1">IFERROR(__xludf.DUMMYFUNCTION("""COMPUTED_VALUE"""),0)</f>
        <v>0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 t="str">
        <f ca="1">IFERROR(__xludf.DUMMYFUNCTION("""COMPUTED_VALUE"""),"496eda84f786b4ccef146e151d4c706b")</f>
        <v>496eda84f786b4ccef146e151d4c706b</v>
      </c>
      <c r="AC56" s="21" t="str">
        <f ca="1">IFERROR(__xludf.DUMMYFUNCTION("""COMPUTED_VALUE"""),"2026-07-09T11:05:55.943Z")</f>
        <v>2026-07-09T11:05:55.943Z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15" customHeight="1" x14ac:dyDescent="0.15">
      <c r="A57" s="25" t="str">
        <f ca="1">IFERROR(__xludf.DUMMYFUNCTION("""COMPUTED_VALUE"""),"2026-07-09T11:13:33.239Z")</f>
        <v>2026-07-09T11:13:33.239Z</v>
      </c>
      <c r="B57" s="25"/>
      <c r="C57" s="25"/>
      <c r="D57" s="25"/>
      <c r="E57" s="25" t="str">
        <f ca="1">IFERROR(__xludf.DUMMYFUNCTION("""COMPUTED_VALUE"""),"খুলনা")</f>
        <v>খুলনা</v>
      </c>
      <c r="F57" s="25" t="str">
        <f ca="1">IFERROR(__xludf.DUMMYFUNCTION("""COMPUTED_VALUE"""),"রূপসা")</f>
        <v>রূপসা</v>
      </c>
      <c r="G57" s="25" t="str">
        <f ca="1">IFERROR(__xludf.DUMMYFUNCTION("""COMPUTED_VALUE"""),"আইচগাতি")</f>
        <v>আইচগাতি</v>
      </c>
      <c r="H57" s="25"/>
      <c r="I57" s="25"/>
      <c r="J57" s="25"/>
      <c r="K57" s="25"/>
      <c r="L57" s="25"/>
      <c r="M57" s="25"/>
      <c r="N57" s="25"/>
      <c r="O57" s="25"/>
      <c r="P57" s="25"/>
      <c r="Q57" s="25">
        <f ca="1">IFERROR(__xludf.DUMMYFUNCTION("""COMPUTED_VALUE"""),0)</f>
        <v>0</v>
      </c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 t="str">
        <f ca="1">IFERROR(__xludf.DUMMYFUNCTION("""COMPUTED_VALUE"""),"496eda84f786b4ccef146e151d4c706b")</f>
        <v>496eda84f786b4ccef146e151d4c706b</v>
      </c>
      <c r="AC57" s="25" t="str">
        <f ca="1">IFERROR(__xludf.DUMMYFUNCTION("""COMPUTED_VALUE"""),"2026-07-09T11:13:33.239Z")</f>
        <v>2026-07-09T11:13:33.239Z</v>
      </c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spans="1:40" ht="15" customHeight="1" x14ac:dyDescent="0.15">
      <c r="A58" s="21" t="str">
        <f ca="1">IFERROR(__xludf.DUMMYFUNCTION("""COMPUTED_VALUE"""),"2026-07-09T11:13:51.387Z")</f>
        <v>2026-07-09T11:13:51.387Z</v>
      </c>
      <c r="B58" s="21"/>
      <c r="C58" s="21"/>
      <c r="D58" s="21"/>
      <c r="E58" s="21" t="str">
        <f ca="1">IFERROR(__xludf.DUMMYFUNCTION("""COMPUTED_VALUE"""),"খুলনা")</f>
        <v>খুলনা</v>
      </c>
      <c r="F58" s="21" t="str">
        <f ca="1">IFERROR(__xludf.DUMMYFUNCTION("""COMPUTED_VALUE"""),"রূপসা")</f>
        <v>রূপসা</v>
      </c>
      <c r="G58" s="21" t="str">
        <f ca="1">IFERROR(__xludf.DUMMYFUNCTION("""COMPUTED_VALUE"""),"নৈহাটি")</f>
        <v>নৈহাটি</v>
      </c>
      <c r="H58" s="21"/>
      <c r="I58" s="21"/>
      <c r="J58" s="21"/>
      <c r="K58" s="21"/>
      <c r="L58" s="21"/>
      <c r="M58" s="21"/>
      <c r="N58" s="21"/>
      <c r="O58" s="21"/>
      <c r="P58" s="21"/>
      <c r="Q58" s="21">
        <f ca="1">IFERROR(__xludf.DUMMYFUNCTION("""COMPUTED_VALUE"""),0)</f>
        <v>0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 t="str">
        <f ca="1">IFERROR(__xludf.DUMMYFUNCTION("""COMPUTED_VALUE"""),"496eda84f786b4ccef146e151d4c706b")</f>
        <v>496eda84f786b4ccef146e151d4c706b</v>
      </c>
      <c r="AC58" s="21" t="str">
        <f ca="1">IFERROR(__xludf.DUMMYFUNCTION("""COMPUTED_VALUE"""),"2026-07-09T11:13:51.387Z")</f>
        <v>2026-07-09T11:13:51.387Z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15" customHeight="1" x14ac:dyDescent="0.15">
      <c r="A59" s="25" t="str">
        <f ca="1">IFERROR(__xludf.DUMMYFUNCTION("""COMPUTED_VALUE"""),"2026-07-09T11:15:07.327Z")</f>
        <v>2026-07-09T11:15:07.327Z</v>
      </c>
      <c r="B59" s="25"/>
      <c r="C59" s="25"/>
      <c r="D59" s="25"/>
      <c r="E59" s="25" t="str">
        <f ca="1">IFERROR(__xludf.DUMMYFUNCTION("""COMPUTED_VALUE"""),"খুলনা")</f>
        <v>খুলনা</v>
      </c>
      <c r="F59" s="25" t="str">
        <f ca="1">IFERROR(__xludf.DUMMYFUNCTION("""COMPUTED_VALUE"""),"ডুমুরিয়া")</f>
        <v>ডুমুরিয়া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>
        <f ca="1">IFERROR(__xludf.DUMMYFUNCTION("""COMPUTED_VALUE"""),0)</f>
        <v>0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 t="str">
        <f ca="1">IFERROR(__xludf.DUMMYFUNCTION("""COMPUTED_VALUE"""),"496eda84f786b4ccef146e151d4c706b")</f>
        <v>496eda84f786b4ccef146e151d4c706b</v>
      </c>
      <c r="AC59" s="25" t="str">
        <f ca="1">IFERROR(__xludf.DUMMYFUNCTION("""COMPUTED_VALUE"""),"2026-07-09T11:15:07.327Z")</f>
        <v>2026-07-09T11:15:07.327Z</v>
      </c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spans="1:40" ht="15" customHeight="1" x14ac:dyDescent="0.15">
      <c r="A60" s="21" t="str">
        <f ca="1">IFERROR(__xludf.DUMMYFUNCTION("""COMPUTED_VALUE"""),"2026-07-09T11:24:29.160Z")</f>
        <v>2026-07-09T11:24:29.160Z</v>
      </c>
      <c r="B60" s="21"/>
      <c r="C60" s="21"/>
      <c r="D60" s="21"/>
      <c r="E60" s="21" t="str">
        <f ca="1">IFERROR(__xludf.DUMMYFUNCTION("""COMPUTED_VALUE"""),"খুলনা")</f>
        <v>খুলনা</v>
      </c>
      <c r="F60" s="21" t="str">
        <f ca="1">IFERROR(__xludf.DUMMYFUNCTION("""COMPUTED_VALUE"""),"রূপসা")</f>
        <v>রূপসা</v>
      </c>
      <c r="G60" s="21" t="str">
        <f ca="1">IFERROR(__xludf.DUMMYFUNCTION("""COMPUTED_VALUE"""),"টিএসবি")</f>
        <v>টিএসবি</v>
      </c>
      <c r="H60" s="21"/>
      <c r="I60" s="21"/>
      <c r="J60" s="21"/>
      <c r="K60" s="21"/>
      <c r="L60" s="21"/>
      <c r="M60" s="21"/>
      <c r="N60" s="21"/>
      <c r="O60" s="21"/>
      <c r="P60" s="21"/>
      <c r="Q60" s="21">
        <f ca="1">IFERROR(__xludf.DUMMYFUNCTION("""COMPUTED_VALUE"""),0)</f>
        <v>0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 t="str">
        <f ca="1">IFERROR(__xludf.DUMMYFUNCTION("""COMPUTED_VALUE"""),"496eda84f786b4ccef146e151d4c706b")</f>
        <v>496eda84f786b4ccef146e151d4c706b</v>
      </c>
      <c r="AC60" s="21" t="str">
        <f ca="1">IFERROR(__xludf.DUMMYFUNCTION("""COMPUTED_VALUE"""),"2026-07-09T11:24:29.160Z")</f>
        <v>2026-07-09T11:24:29.160Z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15" customHeight="1" x14ac:dyDescent="0.15">
      <c r="A61" s="25" t="str">
        <f ca="1">IFERROR(__xludf.DUMMYFUNCTION("""COMPUTED_VALUE"""),"2026-07-09T11:28:15.744Z")</f>
        <v>2026-07-09T11:28:15.744Z</v>
      </c>
      <c r="B61" s="25"/>
      <c r="C61" s="25"/>
      <c r="D61" s="25"/>
      <c r="E61" s="25" t="str">
        <f ca="1">IFERROR(__xludf.DUMMYFUNCTION("""COMPUTED_VALUE"""),"খুলনা")</f>
        <v>খুলনা</v>
      </c>
      <c r="F61" s="25" t="str">
        <f ca="1">IFERROR(__xludf.DUMMYFUNCTION("""COMPUTED_VALUE"""),"ডুমুরিয়া")</f>
        <v>ডুমুরিয়া</v>
      </c>
      <c r="G61" s="25" t="str">
        <f ca="1">IFERROR(__xludf.DUMMYFUNCTION("""COMPUTED_VALUE"""),"সাহস")</f>
        <v>সাহস</v>
      </c>
      <c r="H61" s="25"/>
      <c r="I61" s="25"/>
      <c r="J61" s="25"/>
      <c r="K61" s="25"/>
      <c r="L61" s="25"/>
      <c r="M61" s="25"/>
      <c r="N61" s="25"/>
      <c r="O61" s="25"/>
      <c r="P61" s="25"/>
      <c r="Q61" s="25">
        <f ca="1">IFERROR(__xludf.DUMMYFUNCTION("""COMPUTED_VALUE"""),0)</f>
        <v>0</v>
      </c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 t="str">
        <f ca="1">IFERROR(__xludf.DUMMYFUNCTION("""COMPUTED_VALUE"""),"496eda84f786b4ccef146e151d4c706b")</f>
        <v>496eda84f786b4ccef146e151d4c706b</v>
      </c>
      <c r="AC61" s="25" t="str">
        <f ca="1">IFERROR(__xludf.DUMMYFUNCTION("""COMPUTED_VALUE"""),"2026-07-09T11:28:15.744Z")</f>
        <v>2026-07-09T11:28:15.744Z</v>
      </c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spans="1:40" ht="15" customHeight="1" x14ac:dyDescent="0.15">
      <c r="A62" s="21" t="str">
        <f ca="1">IFERROR(__xludf.DUMMYFUNCTION("""COMPUTED_VALUE"""),"2026-07-09T11:35:08.709Z")</f>
        <v>2026-07-09T11:35:08.709Z</v>
      </c>
      <c r="B62" s="21"/>
      <c r="C62" s="21"/>
      <c r="D62" s="21"/>
      <c r="E62" s="21" t="str">
        <f ca="1">IFERROR(__xludf.DUMMYFUNCTION("""COMPUTED_VALUE"""),"খাগড়াছড়ি")</f>
        <v>খাগড়াছড়ি</v>
      </c>
      <c r="F62" s="21" t="str">
        <f ca="1">IFERROR(__xludf.DUMMYFUNCTION("""COMPUTED_VALUE"""),"মহালছড়ি")</f>
        <v>মহালছড়ি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>
        <f ca="1">IFERROR(__xludf.DUMMYFUNCTION("""COMPUTED_VALUE"""),0)</f>
        <v>0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 t="str">
        <f ca="1">IFERROR(__xludf.DUMMYFUNCTION("""COMPUTED_VALUE"""),"496eda84f786b4ccef146e151d4c706b")</f>
        <v>496eda84f786b4ccef146e151d4c706b</v>
      </c>
      <c r="AC62" s="21" t="str">
        <f ca="1">IFERROR(__xludf.DUMMYFUNCTION("""COMPUTED_VALUE"""),"2026-07-09T11:35:08.709Z")</f>
        <v>2026-07-09T11:35:08.709Z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ht="15" customHeight="1" x14ac:dyDescent="0.15">
      <c r="A63" s="25" t="str">
        <f ca="1">IFERROR(__xludf.DUMMYFUNCTION("""COMPUTED_VALUE"""),"2026-07-09T11:50:30.115Z")</f>
        <v>2026-07-09T11:50:30.115Z</v>
      </c>
      <c r="B63" s="25"/>
      <c r="C63" s="25"/>
      <c r="D63" s="25"/>
      <c r="E63" s="25" t="str">
        <f ca="1">IFERROR(__xludf.DUMMYFUNCTION("""COMPUTED_VALUE"""),"কুড়িগ্রাম")</f>
        <v>কুড়িগ্রাম</v>
      </c>
      <c r="F63" s="25" t="str">
        <f ca="1">IFERROR(__xludf.DUMMYFUNCTION("""COMPUTED_VALUE"""),"ফুলবাড়ী")</f>
        <v>ফুলবাড়ী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>
        <f ca="1">IFERROR(__xludf.DUMMYFUNCTION("""COMPUTED_VALUE"""),0)</f>
        <v>0</v>
      </c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 t="str">
        <f ca="1">IFERROR(__xludf.DUMMYFUNCTION("""COMPUTED_VALUE"""),"496eda84f786b4ccef146e151d4c706b")</f>
        <v>496eda84f786b4ccef146e151d4c706b</v>
      </c>
      <c r="AC63" s="25" t="str">
        <f ca="1">IFERROR(__xludf.DUMMYFUNCTION("""COMPUTED_VALUE"""),"2026-07-09T11:50:30.115Z")</f>
        <v>2026-07-09T11:50:30.115Z</v>
      </c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spans="1:40" ht="15" customHeight="1" x14ac:dyDescent="0.15">
      <c r="A64" s="21" t="str">
        <f ca="1">IFERROR(__xludf.DUMMYFUNCTION("""COMPUTED_VALUE"""),"2026-07-09T11:52:43.286Z")</f>
        <v>2026-07-09T11:52:43.286Z</v>
      </c>
      <c r="B64" s="21" t="str">
        <f ca="1">IFERROR(__xludf.DUMMYFUNCTION("""COMPUTED_VALUE"""),"mrdg6b4fciib0e")</f>
        <v>mrdg6b4fciib0e</v>
      </c>
      <c r="C64" s="21" t="str">
        <f ca="1">IFERROR(__xludf.DUMMYFUNCTION("""COMPUTED_VALUE"""),"রংপুর")</f>
        <v>রংপুর</v>
      </c>
      <c r="D64" s="21" t="str">
        <f ca="1">IFERROR(__xludf.DUMMYFUNCTION("""COMPUTED_VALUE"""),"রংপুর")</f>
        <v>রংপুর</v>
      </c>
      <c r="E64" s="21" t="str">
        <f ca="1">IFERROR(__xludf.DUMMYFUNCTION("""COMPUTED_VALUE"""),"কুড়িগ্রাম")</f>
        <v>কুড়িগ্রাম</v>
      </c>
      <c r="F64" s="21" t="str">
        <f ca="1">IFERROR(__xludf.DUMMYFUNCTION("""COMPUTED_VALUE"""),"কুড়িগ্রাম সদর")</f>
        <v>কুড়িগ্রাম সদর</v>
      </c>
      <c r="G64" s="21" t="str">
        <f ca="1">IFERROR(__xludf.DUMMYFUNCTION("""COMPUTED_VALUE"""),"বেলগাছা")</f>
        <v>বেলগাছা</v>
      </c>
      <c r="H64" s="21" t="str">
        <f ca="1">IFERROR(__xludf.DUMMYFUNCTION("""COMPUTED_VALUE"""),"বেলগাছা")</f>
        <v>বেলগাছা</v>
      </c>
      <c r="I64" s="21" t="str">
        <f ca="1">IFERROR(__xludf.DUMMYFUNCTION("""COMPUTED_VALUE"""),"সড়কপার্শ্ব")</f>
        <v>সড়কপার্শ্ব</v>
      </c>
      <c r="J64" s="21" t="str">
        <f ca="1">IFERROR(__xludf.DUMMYFUNCTION("""COMPUTED_VALUE"""),"প্রণোদনা")</f>
        <v>প্রণোদনা</v>
      </c>
      <c r="K64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64" s="21">
        <f ca="1">IFERROR(__xludf.DUMMYFUNCTION("""COMPUTED_VALUE"""),25.808418)</f>
        <v>25.808418</v>
      </c>
      <c r="M64" s="21">
        <f ca="1">IFERROR(__xludf.DUMMYFUNCTION("""COMPUTED_VALUE"""),89.640625)</f>
        <v>89.640625</v>
      </c>
      <c r="N64" s="22">
        <f ca="1">IFERROR(__xludf.DUMMYFUNCTION("""COMPUTED_VALUE"""),46204)</f>
        <v>46204</v>
      </c>
      <c r="O64" s="21" t="str">
        <f ca="1">IFERROR(__xludf.DUMMYFUNCTION("""COMPUTED_VALUE"""),"কাঁঠাল")</f>
        <v>কাঁঠাল</v>
      </c>
      <c r="P64" s="21" t="str">
        <f ca="1">IFERROR(__xludf.DUMMYFUNCTION("""COMPUTED_VALUE"""),"ফলদ")</f>
        <v>ফলদ</v>
      </c>
      <c r="Q64" s="21">
        <f ca="1">IFERROR(__xludf.DUMMYFUNCTION("""COMPUTED_VALUE"""),2)</f>
        <v>2</v>
      </c>
      <c r="R64" s="21">
        <f ca="1">IFERROR(__xludf.DUMMYFUNCTION("""COMPUTED_VALUE"""),0.281)</f>
        <v>0.28100000000000003</v>
      </c>
      <c r="S64" s="21"/>
      <c r="T64" s="21"/>
      <c r="U64" s="21" t="str">
        <f ca="1">IFERROR(__xludf.DUMMYFUNCTION("""COMPUTED_VALUE"""),"htf")</f>
        <v>htf</v>
      </c>
      <c r="V64" s="21">
        <f ca="1">IFERROR(__xludf.DUMMYFUNCTION("""COMPUTED_VALUE"""),1712653740)</f>
        <v>1712653740</v>
      </c>
      <c r="W64" s="21"/>
      <c r="X64" s="21"/>
      <c r="Y64" s="21" t="str">
        <f ca="1">IFERROR(__xludf.DUMMYFUNCTION("""COMPUTED_VALUE"""),"nila")</f>
        <v>nila</v>
      </c>
      <c r="Z64" s="21">
        <f ca="1">IFERROR(__xludf.DUMMYFUNCTION("""COMPUTED_VALUE"""),1745763080)</f>
        <v>1745763080</v>
      </c>
      <c r="AA64" s="21"/>
      <c r="AB64" s="21" t="str">
        <f ca="1">IFERROR(__xludf.DUMMYFUNCTION("""COMPUTED_VALUE"""),"9ac7890f49155066362f564015137102")</f>
        <v>9ac7890f49155066362f564015137102</v>
      </c>
      <c r="AC64" s="21" t="str">
        <f ca="1">IFERROR(__xludf.DUMMYFUNCTION("""COMPUTED_VALUE"""),"2026-07-09T11:52:43.286Z")</f>
        <v>2026-07-09T11:52:43.286Z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15" customHeight="1" x14ac:dyDescent="0.15">
      <c r="A65" s="25" t="str">
        <f ca="1">IFERROR(__xludf.DUMMYFUNCTION("""COMPUTED_VALUE"""),"2026-07-09T11:55:49.643Z")</f>
        <v>2026-07-09T11:55:49.643Z</v>
      </c>
      <c r="B65" s="25"/>
      <c r="C65" s="25"/>
      <c r="D65" s="25"/>
      <c r="E65" s="25" t="str">
        <f ca="1">IFERROR(__xludf.DUMMYFUNCTION("""COMPUTED_VALUE"""),"খুলনা")</f>
        <v>খুলনা</v>
      </c>
      <c r="F65" s="25" t="str">
        <f ca="1">IFERROR(__xludf.DUMMYFUNCTION("""COMPUTED_VALUE"""),"ডুমুরিয়া")</f>
        <v>ডুমুরিয়া</v>
      </c>
      <c r="G65" s="25" t="str">
        <f ca="1">IFERROR(__xludf.DUMMYFUNCTION("""COMPUTED_VALUE"""),"গুটুদিয়া")</f>
        <v>গুটুদিয়া</v>
      </c>
      <c r="H65" s="25"/>
      <c r="I65" s="25"/>
      <c r="J65" s="25"/>
      <c r="K65" s="25"/>
      <c r="L65" s="25"/>
      <c r="M65" s="25"/>
      <c r="N65" s="25"/>
      <c r="O65" s="25"/>
      <c r="P65" s="25"/>
      <c r="Q65" s="25">
        <f ca="1">IFERROR(__xludf.DUMMYFUNCTION("""COMPUTED_VALUE"""),0)</f>
        <v>0</v>
      </c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 t="str">
        <f ca="1">IFERROR(__xludf.DUMMYFUNCTION("""COMPUTED_VALUE"""),"496eda84f786b4ccef146e151d4c706b")</f>
        <v>496eda84f786b4ccef146e151d4c706b</v>
      </c>
      <c r="AC65" s="25" t="str">
        <f ca="1">IFERROR(__xludf.DUMMYFUNCTION("""COMPUTED_VALUE"""),"2026-07-09T11:55:49.643Z")</f>
        <v>2026-07-09T11:55:49.643Z</v>
      </c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spans="1:40" ht="15" customHeight="1" x14ac:dyDescent="0.15">
      <c r="A66" s="21" t="str">
        <f ca="1">IFERROR(__xludf.DUMMYFUNCTION("""COMPUTED_VALUE"""),"2026-07-09T12:21:51.686Z")</f>
        <v>2026-07-09T12:21:51.686Z</v>
      </c>
      <c r="B66" s="21"/>
      <c r="C66" s="21"/>
      <c r="D66" s="21"/>
      <c r="E66" s="21" t="str">
        <f ca="1">IFERROR(__xludf.DUMMYFUNCTION("""COMPUTED_VALUE"""),"খুলনা")</f>
        <v>খুলনা</v>
      </c>
      <c r="F66" s="21" t="str">
        <f ca="1">IFERROR(__xludf.DUMMYFUNCTION("""COMPUTED_VALUE"""),"বটিয়াঘাটা")</f>
        <v>বটিয়াঘাটা</v>
      </c>
      <c r="G66" s="21" t="str">
        <f ca="1">IFERROR(__xludf.DUMMYFUNCTION("""COMPUTED_VALUE"""),"সুরখালী")</f>
        <v>সুরখালী</v>
      </c>
      <c r="H66" s="21"/>
      <c r="I66" s="21"/>
      <c r="J66" s="21"/>
      <c r="K66" s="21"/>
      <c r="L66" s="21"/>
      <c r="M66" s="21"/>
      <c r="N66" s="21"/>
      <c r="O66" s="21"/>
      <c r="P66" s="21"/>
      <c r="Q66" s="21">
        <f ca="1">IFERROR(__xludf.DUMMYFUNCTION("""COMPUTED_VALUE"""),0)</f>
        <v>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 t="str">
        <f ca="1">IFERROR(__xludf.DUMMYFUNCTION("""COMPUTED_VALUE"""),"496eda84f786b4ccef146e151d4c706b")</f>
        <v>496eda84f786b4ccef146e151d4c706b</v>
      </c>
      <c r="AC66" s="21" t="str">
        <f ca="1">IFERROR(__xludf.DUMMYFUNCTION("""COMPUTED_VALUE"""),"2026-07-09T12:21:51.686Z")</f>
        <v>2026-07-09T12:21:51.686Z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15" customHeight="1" x14ac:dyDescent="0.15">
      <c r="A67" s="25" t="str">
        <f ca="1">IFERROR(__xludf.DUMMYFUNCTION("""COMPUTED_VALUE"""),"2026-07-09T12:22:25.557Z")</f>
        <v>2026-07-09T12:22:25.557Z</v>
      </c>
      <c r="B67" s="25"/>
      <c r="C67" s="25"/>
      <c r="D67" s="25"/>
      <c r="E67" s="25" t="str">
        <f ca="1">IFERROR(__xludf.DUMMYFUNCTION("""COMPUTED_VALUE"""),"খুলনা")</f>
        <v>খুলনা</v>
      </c>
      <c r="F67" s="25" t="str">
        <f ca="1">IFERROR(__xludf.DUMMYFUNCTION("""COMPUTED_VALUE"""),"পাইকগাছা")</f>
        <v>পাইকগাছা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>
        <f ca="1">IFERROR(__xludf.DUMMYFUNCTION("""COMPUTED_VALUE"""),0)</f>
        <v>0</v>
      </c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 t="str">
        <f ca="1">IFERROR(__xludf.DUMMYFUNCTION("""COMPUTED_VALUE"""),"496eda84f786b4ccef146e151d4c706b")</f>
        <v>496eda84f786b4ccef146e151d4c706b</v>
      </c>
      <c r="AC67" s="25" t="str">
        <f ca="1">IFERROR(__xludf.DUMMYFUNCTION("""COMPUTED_VALUE"""),"2026-07-09T12:22:25.557Z")</f>
        <v>2026-07-09T12:22:25.557Z</v>
      </c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spans="1:40" ht="15" customHeight="1" x14ac:dyDescent="0.15">
      <c r="A68" s="21" t="str">
        <f ca="1">IFERROR(__xludf.DUMMYFUNCTION("""COMPUTED_VALUE"""),"2026-07-09T12:39:38.113Z")</f>
        <v>2026-07-09T12:39:38.113Z</v>
      </c>
      <c r="B68" s="21"/>
      <c r="C68" s="21"/>
      <c r="D68" s="21"/>
      <c r="E68" s="21" t="str">
        <f ca="1">IFERROR(__xludf.DUMMYFUNCTION("""COMPUTED_VALUE"""),"খুলনা")</f>
        <v>খুলনা</v>
      </c>
      <c r="F68" s="21" t="str">
        <f ca="1">IFERROR(__xludf.DUMMYFUNCTION("""COMPUTED_VALUE"""),"ডুমুরিয়া")</f>
        <v>ডুমুরিয়া</v>
      </c>
      <c r="G68" s="21" t="str">
        <f ca="1">IFERROR(__xludf.DUMMYFUNCTION("""COMPUTED_VALUE"""),"সাহস")</f>
        <v>সাহস</v>
      </c>
      <c r="H68" s="21"/>
      <c r="I68" s="21"/>
      <c r="J68" s="21"/>
      <c r="K68" s="21"/>
      <c r="L68" s="21"/>
      <c r="M68" s="21"/>
      <c r="N68" s="21"/>
      <c r="O68" s="21"/>
      <c r="P68" s="21"/>
      <c r="Q68" s="21">
        <f ca="1">IFERROR(__xludf.DUMMYFUNCTION("""COMPUTED_VALUE"""),0)</f>
        <v>0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 t="str">
        <f ca="1">IFERROR(__xludf.DUMMYFUNCTION("""COMPUTED_VALUE"""),"496eda84f786b4ccef146e151d4c706b")</f>
        <v>496eda84f786b4ccef146e151d4c706b</v>
      </c>
      <c r="AC68" s="21" t="str">
        <f ca="1">IFERROR(__xludf.DUMMYFUNCTION("""COMPUTED_VALUE"""),"2026-07-09T12:39:38.113Z")</f>
        <v>2026-07-09T12:39:38.113Z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15" customHeight="1" x14ac:dyDescent="0.15">
      <c r="A69" s="25" t="str">
        <f ca="1">IFERROR(__xludf.DUMMYFUNCTION("""COMPUTED_VALUE"""),"2026-07-09T14:26:13.325Z")</f>
        <v>2026-07-09T14:26:13.325Z</v>
      </c>
      <c r="B69" s="25"/>
      <c r="C69" s="25"/>
      <c r="D69" s="25"/>
      <c r="E69" s="25" t="str">
        <f ca="1">IFERROR(__xludf.DUMMYFUNCTION("""COMPUTED_VALUE"""),"খাগড়াছড়ি")</f>
        <v>খাগড়াছড়ি</v>
      </c>
      <c r="F69" s="25" t="str">
        <f ca="1">IFERROR(__xludf.DUMMYFUNCTION("""COMPUTED_VALUE"""),"মাটিরাঙ্গা")</f>
        <v>মাটিরাঙ্গা</v>
      </c>
      <c r="G69" s="25" t="str">
        <f ca="1">IFERROR(__xludf.DUMMYFUNCTION("""COMPUTED_VALUE"""),"মাটিরাঙা পৌরসভা")</f>
        <v>মাটিরাঙা পৌরসভা</v>
      </c>
      <c r="H69" s="25"/>
      <c r="I69" s="25"/>
      <c r="J69" s="25"/>
      <c r="K69" s="25"/>
      <c r="L69" s="25"/>
      <c r="M69" s="25"/>
      <c r="N69" s="25"/>
      <c r="O69" s="25"/>
      <c r="P69" s="25"/>
      <c r="Q69" s="25">
        <f ca="1">IFERROR(__xludf.DUMMYFUNCTION("""COMPUTED_VALUE"""),0)</f>
        <v>0</v>
      </c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 t="str">
        <f ca="1">IFERROR(__xludf.DUMMYFUNCTION("""COMPUTED_VALUE"""),"496eda84f786b4ccef146e151d4c706b")</f>
        <v>496eda84f786b4ccef146e151d4c706b</v>
      </c>
      <c r="AC69" s="25" t="str">
        <f ca="1">IFERROR(__xludf.DUMMYFUNCTION("""COMPUTED_VALUE"""),"2026-07-09T14:26:13.325Z")</f>
        <v>2026-07-09T14:26:13.325Z</v>
      </c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spans="1:40" ht="15" customHeight="1" x14ac:dyDescent="0.15">
      <c r="A70" s="21" t="str">
        <f ca="1">IFERROR(__xludf.DUMMYFUNCTION("""COMPUTED_VALUE"""),"2026-07-09T15:05:18.997Z")</f>
        <v>2026-07-09T15:05:18.997Z</v>
      </c>
      <c r="B70" s="21"/>
      <c r="C70" s="21"/>
      <c r="D70" s="21"/>
      <c r="E70" s="21" t="str">
        <f ca="1">IFERROR(__xludf.DUMMYFUNCTION("""COMPUTED_VALUE"""),"খাগড়াছড়ি")</f>
        <v>খাগড়াছড়ি</v>
      </c>
      <c r="F70" s="21" t="str">
        <f ca="1">IFERROR(__xludf.DUMMYFUNCTION("""COMPUTED_VALUE"""),"খাগড়াছড়ি সদর")</f>
        <v>খাগড়াছড়ি সদর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>
        <f ca="1">IFERROR(__xludf.DUMMYFUNCTION("""COMPUTED_VALUE"""),0)</f>
        <v>0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 t="str">
        <f ca="1">IFERROR(__xludf.DUMMYFUNCTION("""COMPUTED_VALUE"""),"496eda84f786b4ccef146e151d4c706b")</f>
        <v>496eda84f786b4ccef146e151d4c706b</v>
      </c>
      <c r="AC70" s="21" t="str">
        <f ca="1">IFERROR(__xludf.DUMMYFUNCTION("""COMPUTED_VALUE"""),"2026-07-09T15:05:18.997Z")</f>
        <v>2026-07-09T15:05:18.997Z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15" customHeight="1" x14ac:dyDescent="0.15">
      <c r="A71" s="25" t="str">
        <f ca="1">IFERROR(__xludf.DUMMYFUNCTION("""COMPUTED_VALUE"""),"2026-07-09T15:32:56.044Z")</f>
        <v>2026-07-09T15:32:56.044Z</v>
      </c>
      <c r="B71" s="25"/>
      <c r="C71" s="25"/>
      <c r="D71" s="25"/>
      <c r="E71" s="25" t="str">
        <f ca="1">IFERROR(__xludf.DUMMYFUNCTION("""COMPUTED_VALUE"""),"খুলনা")</f>
        <v>খুলনা</v>
      </c>
      <c r="F71" s="25" t="str">
        <f ca="1">IFERROR(__xludf.DUMMYFUNCTION("""COMPUTED_VALUE"""),"বটিয়াঘাটা")</f>
        <v>বটিয়াঘাটা</v>
      </c>
      <c r="G71" s="25" t="str">
        <f ca="1">IFERROR(__xludf.DUMMYFUNCTION("""COMPUTED_VALUE"""),"জলমা")</f>
        <v>জলমা</v>
      </c>
      <c r="H71" s="25"/>
      <c r="I71" s="25"/>
      <c r="J71" s="25"/>
      <c r="K71" s="25"/>
      <c r="L71" s="25"/>
      <c r="M71" s="25"/>
      <c r="N71" s="25"/>
      <c r="O71" s="25"/>
      <c r="P71" s="25"/>
      <c r="Q71" s="25">
        <f ca="1">IFERROR(__xludf.DUMMYFUNCTION("""COMPUTED_VALUE"""),0)</f>
        <v>0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 t="str">
        <f ca="1">IFERROR(__xludf.DUMMYFUNCTION("""COMPUTED_VALUE"""),"496eda84f786b4ccef146e151d4c706b")</f>
        <v>496eda84f786b4ccef146e151d4c706b</v>
      </c>
      <c r="AC71" s="25" t="str">
        <f ca="1">IFERROR(__xludf.DUMMYFUNCTION("""COMPUTED_VALUE"""),"2026-07-09T15:32:56.044Z")</f>
        <v>2026-07-09T15:32:56.044Z</v>
      </c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spans="1:40" ht="15" customHeight="1" x14ac:dyDescent="0.15">
      <c r="A72" s="21" t="str">
        <f ca="1">IFERROR(__xludf.DUMMYFUNCTION("""COMPUTED_VALUE"""),"2026-07-09T16:10:40.063Z")</f>
        <v>2026-07-09T16:10:40.063Z</v>
      </c>
      <c r="B72" s="21"/>
      <c r="C72" s="21"/>
      <c r="D72" s="21"/>
      <c r="E72" s="21" t="str">
        <f ca="1">IFERROR(__xludf.DUMMYFUNCTION("""COMPUTED_VALUE"""),"খাগড়াছড়ি")</f>
        <v>খাগড়াছড়ি</v>
      </c>
      <c r="F72" s="21" t="str">
        <f ca="1">IFERROR(__xludf.DUMMYFUNCTION("""COMPUTED_VALUE"""),"মাটিরাঙ্গা")</f>
        <v>মাটিরাঙ্গা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>
        <f ca="1">IFERROR(__xludf.DUMMYFUNCTION("""COMPUTED_VALUE"""),0)</f>
        <v>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 t="str">
        <f ca="1">IFERROR(__xludf.DUMMYFUNCTION("""COMPUTED_VALUE"""),"496eda84f786b4ccef146e151d4c706b")</f>
        <v>496eda84f786b4ccef146e151d4c706b</v>
      </c>
      <c r="AC72" s="21" t="str">
        <f ca="1">IFERROR(__xludf.DUMMYFUNCTION("""COMPUTED_VALUE"""),"2026-07-09T16:10:40.063Z")</f>
        <v>2026-07-09T16:10:40.063Z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15" customHeight="1" x14ac:dyDescent="0.15">
      <c r="A73" s="25" t="str">
        <f ca="1">IFERROR(__xludf.DUMMYFUNCTION("""COMPUTED_VALUE"""),"2026-07-11T07:23:23.029Z")</f>
        <v>2026-07-11T07:23:23.029Z</v>
      </c>
      <c r="B73" s="25"/>
      <c r="C73" s="25"/>
      <c r="D73" s="25"/>
      <c r="E73" s="25" t="str">
        <f ca="1">IFERROR(__xludf.DUMMYFUNCTION("""COMPUTED_VALUE"""),"কুড়িগ্রাম")</f>
        <v>কুড়িগ্রাম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>
        <f ca="1">IFERROR(__xludf.DUMMYFUNCTION("""COMPUTED_VALUE"""),0)</f>
        <v>0</v>
      </c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 t="str">
        <f ca="1">IFERROR(__xludf.DUMMYFUNCTION("""COMPUTED_VALUE"""),"496eda84f786b4ccef146e151d4c706b")</f>
        <v>496eda84f786b4ccef146e151d4c706b</v>
      </c>
      <c r="AC73" s="25" t="str">
        <f ca="1">IFERROR(__xludf.DUMMYFUNCTION("""COMPUTED_VALUE"""),"2026-07-11T07:23:23.029Z")</f>
        <v>2026-07-11T07:23:23.029Z</v>
      </c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spans="1:40" ht="15" customHeight="1" x14ac:dyDescent="0.15">
      <c r="A74" s="21" t="str">
        <f ca="1">IFERROR(__xludf.DUMMYFUNCTION("""COMPUTED_VALUE"""),"2026-07-12T04:54:31.435Z")</f>
        <v>2026-07-12T04:54:31.435Z</v>
      </c>
      <c r="B74" s="21"/>
      <c r="C74" s="21"/>
      <c r="D74" s="21"/>
      <c r="E74" s="21" t="str">
        <f ca="1">IFERROR(__xludf.DUMMYFUNCTION("""COMPUTED_VALUE"""),"গাইবান্ধা")</f>
        <v>গাইবান্ধা</v>
      </c>
      <c r="F74" s="21" t="str">
        <f ca="1">IFERROR(__xludf.DUMMYFUNCTION("""COMPUTED_VALUE"""),"পলাশবাড়ী")</f>
        <v>পলাশবাড়ী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>
        <f ca="1">IFERROR(__xludf.DUMMYFUNCTION("""COMPUTED_VALUE"""),0)</f>
        <v>0</v>
      </c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 t="str">
        <f ca="1">IFERROR(__xludf.DUMMYFUNCTION("""COMPUTED_VALUE"""),"496eda84f786b4ccef146e151d4c706b")</f>
        <v>496eda84f786b4ccef146e151d4c706b</v>
      </c>
      <c r="AC74" s="21" t="str">
        <f ca="1">IFERROR(__xludf.DUMMYFUNCTION("""COMPUTED_VALUE"""),"2026-07-12T04:54:31.435Z")</f>
        <v>2026-07-12T04:54:31.435Z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15" customHeight="1" x14ac:dyDescent="0.15">
      <c r="A75" s="25" t="str">
        <f ca="1">IFERROR(__xludf.DUMMYFUNCTION("""COMPUTED_VALUE"""),"2026-07-12T05:47:46.146Z")</f>
        <v>2026-07-12T05:47:46.146Z</v>
      </c>
      <c r="B75" s="25" t="str">
        <f ca="1">IFERROR(__xludf.DUMMYFUNCTION("""COMPUTED_VALUE"""),"mrhdggz6o29rh6")</f>
        <v>mrhdggz6o29rh6</v>
      </c>
      <c r="C75" s="25" t="str">
        <f ca="1">IFERROR(__xludf.DUMMYFUNCTION("""COMPUTED_VALUE"""),"খুলনা")</f>
        <v>খুলনা</v>
      </c>
      <c r="D75" s="25" t="str">
        <f ca="1">IFERROR(__xludf.DUMMYFUNCTION("""COMPUTED_VALUE"""),"খুলনা")</f>
        <v>খুলনা</v>
      </c>
      <c r="E75" s="25" t="str">
        <f ca="1">IFERROR(__xludf.DUMMYFUNCTION("""COMPUTED_VALUE"""),"খুলনা")</f>
        <v>খুলনা</v>
      </c>
      <c r="F75" s="25" t="str">
        <f ca="1">IFERROR(__xludf.DUMMYFUNCTION("""COMPUTED_VALUE"""),"ডুমুরিয়া")</f>
        <v>ডুমুরিয়া</v>
      </c>
      <c r="G75" s="25" t="str">
        <f ca="1">IFERROR(__xludf.DUMMYFUNCTION("""COMPUTED_VALUE"""),"গুটুদিয়া")</f>
        <v>গুটুদিয়া</v>
      </c>
      <c r="H75" s="25" t="str">
        <f ca="1">IFERROR(__xludf.DUMMYFUNCTION("""COMPUTED_VALUE"""),"জিলেরডাঙ্গা")</f>
        <v>জিলেরডাঙ্গা</v>
      </c>
      <c r="I75" s="25" t="str">
        <f ca="1">IFERROR(__xludf.DUMMYFUNCTION("""COMPUTED_VALUE"""),"ক্ষেত্র/জমি")</f>
        <v>ক্ষেত্র/জমি</v>
      </c>
      <c r="J75" s="25" t="str">
        <f ca="1">IFERROR(__xludf.DUMMYFUNCTION("""COMPUTED_VALUE"""),"প্রণোদনা")</f>
        <v>প্রণোদনা</v>
      </c>
      <c r="K75" s="25" t="str">
        <f ca="1">IFERROR(__xludf.DUMMYFUNCTION("""COMPUTED_VALUE"""),"রাজবাঁধ, ডুমুরিয়া উপজেলা, খুলনা জেলা")</f>
        <v>রাজবাঁধ, ডুমুরিয়া উপজেলা, খুলনা জেলা</v>
      </c>
      <c r="L75" s="25">
        <f ca="1">IFERROR(__xludf.DUMMYFUNCTION("""COMPUTED_VALUE"""),22.791749)</f>
        <v>22.791748999999999</v>
      </c>
      <c r="M75" s="25">
        <f ca="1">IFERROR(__xludf.DUMMYFUNCTION("""COMPUTED_VALUE"""),89.462178)</f>
        <v>89.462177999999994</v>
      </c>
      <c r="N75" s="26">
        <f ca="1">IFERROR(__xludf.DUMMYFUNCTION("""COMPUTED_VALUE"""),46215)</f>
        <v>46215</v>
      </c>
      <c r="O75" s="25" t="str">
        <f ca="1">IFERROR(__xludf.DUMMYFUNCTION("""COMPUTED_VALUE"""),"নারিকেল")</f>
        <v>নারিকেল</v>
      </c>
      <c r="P75" s="25" t="str">
        <f ca="1">IFERROR(__xludf.DUMMYFUNCTION("""COMPUTED_VALUE"""),"ফলদ")</f>
        <v>ফলদ</v>
      </c>
      <c r="Q75" s="25">
        <f ca="1">IFERROR(__xludf.DUMMYFUNCTION("""COMPUTED_VALUE"""),5)</f>
        <v>5</v>
      </c>
      <c r="R75" s="25">
        <f ca="1">IFERROR(__xludf.DUMMYFUNCTION("""COMPUTED_VALUE"""),0.265)</f>
        <v>0.26500000000000001</v>
      </c>
      <c r="S75" s="25"/>
      <c r="T75" s="25"/>
      <c r="U75" s="25" t="str">
        <f ca="1">IFERROR(__xludf.DUMMYFUNCTION("""COMPUTED_VALUE"""),"বাবলু বিশ্বাস")</f>
        <v>বাবলু বিশ্বাস</v>
      </c>
      <c r="V75" s="25">
        <f ca="1">IFERROR(__xludf.DUMMYFUNCTION("""COMPUTED_VALUE"""),1715849869)</f>
        <v>1715849869</v>
      </c>
      <c r="W75" s="25" t="str">
        <f ca="1">IFERROR(__xludf.DUMMYFUNCTION("""COMPUTED_VALUE"""),"শেখ আবু হুরায়রা")</f>
        <v>শেখ আবু হুরায়রা</v>
      </c>
      <c r="X75" s="25">
        <f ca="1">IFERROR(__xludf.DUMMYFUNCTION("""COMPUTED_VALUE"""),1925427257)</f>
        <v>1925427257</v>
      </c>
      <c r="Y75" s="25"/>
      <c r="Z75" s="25"/>
      <c r="AA75" s="25"/>
      <c r="AB75" s="25" t="str">
        <f ca="1">IFERROR(__xludf.DUMMYFUNCTION("""COMPUTED_VALUE"""),"2d12493230a48bef7e7c40df35b14091")</f>
        <v>2d12493230a48bef7e7c40df35b14091</v>
      </c>
      <c r="AC75" s="25" t="str">
        <f ca="1">IFERROR(__xludf.DUMMYFUNCTION("""COMPUTED_VALUE"""),"2026-07-12T05:47:46.146Z")</f>
        <v>2026-07-12T05:47:46.146Z</v>
      </c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spans="1:40" ht="15" customHeight="1" x14ac:dyDescent="0.15">
      <c r="A76" s="21" t="str">
        <f ca="1">IFERROR(__xludf.DUMMYFUNCTION("""COMPUTED_VALUE"""),"2026-07-12T06:02:06.128Z")</f>
        <v>2026-07-12T06:02:06.128Z</v>
      </c>
      <c r="B76" s="21" t="str">
        <f ca="1">IFERROR(__xludf.DUMMYFUNCTION("""COMPUTED_VALUE"""),"mrhdywmno4337a")</f>
        <v>mrhdywmno4337a</v>
      </c>
      <c r="C76" s="21" t="str">
        <f ca="1">IFERROR(__xludf.DUMMYFUNCTION("""COMPUTED_VALUE"""),"খুলনা")</f>
        <v>খুলনা</v>
      </c>
      <c r="D76" s="21" t="str">
        <f ca="1">IFERROR(__xludf.DUMMYFUNCTION("""COMPUTED_VALUE"""),"খুলনা")</f>
        <v>খুলনা</v>
      </c>
      <c r="E76" s="21" t="str">
        <f ca="1">IFERROR(__xludf.DUMMYFUNCTION("""COMPUTED_VALUE"""),"খুলনা")</f>
        <v>খুলনা</v>
      </c>
      <c r="F76" s="21" t="str">
        <f ca="1">IFERROR(__xludf.DUMMYFUNCTION("""COMPUTED_VALUE"""),"ডুমুরিয়া")</f>
        <v>ডুমুরিয়া</v>
      </c>
      <c r="G76" s="21" t="str">
        <f ca="1">IFERROR(__xludf.DUMMYFUNCTION("""COMPUTED_VALUE"""),"গুটুদিয়া")</f>
        <v>গুটুদিয়া</v>
      </c>
      <c r="H76" s="21" t="str">
        <f ca="1">IFERROR(__xludf.DUMMYFUNCTION("""COMPUTED_VALUE"""),"জিলেরডাঙ্গা")</f>
        <v>জিলেরডাঙ্গা</v>
      </c>
      <c r="I76" s="21" t="str">
        <f ca="1">IFERROR(__xludf.DUMMYFUNCTION("""COMPUTED_VALUE"""),"ক্ষেত্র/জমি")</f>
        <v>ক্ষেত্র/জমি</v>
      </c>
      <c r="J76" s="21" t="str">
        <f ca="1">IFERROR(__xludf.DUMMYFUNCTION("""COMPUTED_VALUE"""),"প্রণোদনা")</f>
        <v>প্রণোদনা</v>
      </c>
      <c r="K76" s="21" t="str">
        <f ca="1">IFERROR(__xludf.DUMMYFUNCTION("""COMPUTED_VALUE"""),"ডুমুরিয়া উপজেলা, খুলনা জেলা")</f>
        <v>ডুমুরিয়া উপজেলা, খুলনা জেলা</v>
      </c>
      <c r="L76" s="21">
        <f ca="1">IFERROR(__xludf.DUMMYFUNCTION("""COMPUTED_VALUE"""),22.792484)</f>
        <v>22.792484000000002</v>
      </c>
      <c r="M76" s="21">
        <f ca="1">IFERROR(__xludf.DUMMYFUNCTION("""COMPUTED_VALUE"""),89.462916)</f>
        <v>89.462916000000007</v>
      </c>
      <c r="N76" s="22">
        <f ca="1">IFERROR(__xludf.DUMMYFUNCTION("""COMPUTED_VALUE"""),46215)</f>
        <v>46215</v>
      </c>
      <c r="O76" s="21" t="str">
        <f ca="1">IFERROR(__xludf.DUMMYFUNCTION("""COMPUTED_VALUE"""),"নারিকেল")</f>
        <v>নারিকেল</v>
      </c>
      <c r="P76" s="21" t="str">
        <f ca="1">IFERROR(__xludf.DUMMYFUNCTION("""COMPUTED_VALUE"""),"ফলদ")</f>
        <v>ফলদ</v>
      </c>
      <c r="Q76" s="21">
        <f ca="1">IFERROR(__xludf.DUMMYFUNCTION("""COMPUTED_VALUE"""),5)</f>
        <v>5</v>
      </c>
      <c r="R76" s="21">
        <f ca="1">IFERROR(__xludf.DUMMYFUNCTION("""COMPUTED_VALUE"""),0.448)</f>
        <v>0.44800000000000001</v>
      </c>
      <c r="S76" s="21"/>
      <c r="T76" s="21"/>
      <c r="U76" s="21" t="str">
        <f ca="1">IFERROR(__xludf.DUMMYFUNCTION("""COMPUTED_VALUE"""),"অনুপ তরফদার")</f>
        <v>অনুপ তরফদার</v>
      </c>
      <c r="V76" s="21">
        <f ca="1">IFERROR(__xludf.DUMMYFUNCTION("""COMPUTED_VALUE"""),1944819402)</f>
        <v>1944819402</v>
      </c>
      <c r="W76" s="21" t="str">
        <f ca="1">IFERROR(__xludf.DUMMYFUNCTION("""COMPUTED_VALUE"""),"শেখ আবু হুরায়রা")</f>
        <v>শেখ আবু হুরায়রা</v>
      </c>
      <c r="X76" s="21">
        <f ca="1">IFERROR(__xludf.DUMMYFUNCTION("""COMPUTED_VALUE"""),1925427257)</f>
        <v>1925427257</v>
      </c>
      <c r="Y76" s="21"/>
      <c r="Z76" s="21"/>
      <c r="AA76" s="21"/>
      <c r="AB76" s="21" t="str">
        <f ca="1">IFERROR(__xludf.DUMMYFUNCTION("""COMPUTED_VALUE"""),"73cc41cfa170432289b74e8a9779d4b7")</f>
        <v>73cc41cfa170432289b74e8a9779d4b7</v>
      </c>
      <c r="AC76" s="21" t="str">
        <f ca="1">IFERROR(__xludf.DUMMYFUNCTION("""COMPUTED_VALUE"""),"2026-07-12T06:02:06.128Z")</f>
        <v>2026-07-12T06:02:06.128Z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15" customHeight="1" x14ac:dyDescent="0.15">
      <c r="A77" s="25" t="str">
        <f ca="1">IFERROR(__xludf.DUMMYFUNCTION("""COMPUTED_VALUE"""),"2026-07-12T06:07:31.663Z")</f>
        <v>2026-07-12T06:07:31.663Z</v>
      </c>
      <c r="B77" s="25"/>
      <c r="C77" s="25"/>
      <c r="D77" s="25"/>
      <c r="E77" s="25" t="str">
        <f ca="1">IFERROR(__xludf.DUMMYFUNCTION("""COMPUTED_VALUE"""),"খাগড়াছড়ি")</f>
        <v>খাগড়াছড়ি</v>
      </c>
      <c r="F77" s="25" t="str">
        <f ca="1">IFERROR(__xludf.DUMMYFUNCTION("""COMPUTED_VALUE"""),"খাগড়াছড়ি সদর")</f>
        <v>খাগড়াছড়ি সদর</v>
      </c>
      <c r="G77" s="25" t="str">
        <f ca="1">IFERROR(__xludf.DUMMYFUNCTION("""COMPUTED_VALUE"""),"কমলছড়ি")</f>
        <v>কমলছড়ি</v>
      </c>
      <c r="H77" s="25"/>
      <c r="I77" s="25"/>
      <c r="J77" s="25"/>
      <c r="K77" s="25"/>
      <c r="L77" s="25"/>
      <c r="M77" s="25"/>
      <c r="N77" s="25"/>
      <c r="O77" s="25"/>
      <c r="P77" s="25"/>
      <c r="Q77" s="25">
        <f ca="1">IFERROR(__xludf.DUMMYFUNCTION("""COMPUTED_VALUE"""),0)</f>
        <v>0</v>
      </c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 t="str">
        <f ca="1">IFERROR(__xludf.DUMMYFUNCTION("""COMPUTED_VALUE"""),"496eda84f786b4ccef146e151d4c706b")</f>
        <v>496eda84f786b4ccef146e151d4c706b</v>
      </c>
      <c r="AC77" s="25" t="str">
        <f ca="1">IFERROR(__xludf.DUMMYFUNCTION("""COMPUTED_VALUE"""),"2026-07-12T06:07:31.663Z")</f>
        <v>2026-07-12T06:07:31.663Z</v>
      </c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spans="1:40" ht="15" customHeight="1" x14ac:dyDescent="0.15">
      <c r="A78" s="21" t="str">
        <f ca="1">IFERROR(__xludf.DUMMYFUNCTION("""COMPUTED_VALUE"""),"2026-07-12T06:08:52.467Z")</f>
        <v>2026-07-12T06:08:52.467Z</v>
      </c>
      <c r="B78" s="21"/>
      <c r="C78" s="21"/>
      <c r="D78" s="21"/>
      <c r="E78" s="21" t="str">
        <f ca="1">IFERROR(__xludf.DUMMYFUNCTION("""COMPUTED_VALUE"""),"খাগড়াছড়ি")</f>
        <v>খাগড়াছড়ি</v>
      </c>
      <c r="F78" s="21" t="str">
        <f ca="1">IFERROR(__xludf.DUMMYFUNCTION("""COMPUTED_VALUE"""),"খাগড়াছড়ি সদর")</f>
        <v>খাগড়াছড়ি সদর</v>
      </c>
      <c r="G78" s="21" t="str">
        <f ca="1">IFERROR(__xludf.DUMMYFUNCTION("""COMPUTED_VALUE"""),"৩ নং গোলাবাড়ী ইউনিয়ন")</f>
        <v>৩ নং গোলাবাড়ী ইউনিয়ন</v>
      </c>
      <c r="H78" s="21"/>
      <c r="I78" s="21"/>
      <c r="J78" s="21"/>
      <c r="K78" s="21"/>
      <c r="L78" s="21"/>
      <c r="M78" s="21"/>
      <c r="N78" s="21"/>
      <c r="O78" s="21"/>
      <c r="P78" s="21"/>
      <c r="Q78" s="21">
        <f ca="1">IFERROR(__xludf.DUMMYFUNCTION("""COMPUTED_VALUE"""),0)</f>
        <v>0</v>
      </c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 t="str">
        <f ca="1">IFERROR(__xludf.DUMMYFUNCTION("""COMPUTED_VALUE"""),"496eda84f786b4ccef146e151d4c706b")</f>
        <v>496eda84f786b4ccef146e151d4c706b</v>
      </c>
      <c r="AC78" s="21" t="str">
        <f ca="1">IFERROR(__xludf.DUMMYFUNCTION("""COMPUTED_VALUE"""),"2026-07-12T06:08:52.467Z")</f>
        <v>2026-07-12T06:08:52.467Z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15" customHeight="1" x14ac:dyDescent="0.15">
      <c r="A79" s="25" t="str">
        <f ca="1">IFERROR(__xludf.DUMMYFUNCTION("""COMPUTED_VALUE"""),"2026-07-12T06:10:42.328Z")</f>
        <v>2026-07-12T06:10:42.328Z</v>
      </c>
      <c r="B79" s="25"/>
      <c r="C79" s="25"/>
      <c r="D79" s="25"/>
      <c r="E79" s="25" t="str">
        <f ca="1">IFERROR(__xludf.DUMMYFUNCTION("""COMPUTED_VALUE"""),"খাগড়াছড়ি")</f>
        <v>খাগড়াছড়ি</v>
      </c>
      <c r="F79" s="25" t="str">
        <f ca="1">IFERROR(__xludf.DUMMYFUNCTION("""COMPUTED_VALUE"""),"খাগড়াছড়ি সদর")</f>
        <v>খাগড়াছড়ি সদর</v>
      </c>
      <c r="G79" s="25" t="str">
        <f ca="1">IFERROR(__xludf.DUMMYFUNCTION("""COMPUTED_VALUE"""),"১নং খাগড়াছড়ি সদর")</f>
        <v>১নং খাগড়াছড়ি সদর</v>
      </c>
      <c r="H79" s="25"/>
      <c r="I79" s="25"/>
      <c r="J79" s="25"/>
      <c r="K79" s="25"/>
      <c r="L79" s="25"/>
      <c r="M79" s="25"/>
      <c r="N79" s="25"/>
      <c r="O79" s="25"/>
      <c r="P79" s="25"/>
      <c r="Q79" s="25">
        <f ca="1">IFERROR(__xludf.DUMMYFUNCTION("""COMPUTED_VALUE"""),0)</f>
        <v>0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 t="str">
        <f ca="1">IFERROR(__xludf.DUMMYFUNCTION("""COMPUTED_VALUE"""),"496eda84f786b4ccef146e151d4c706b")</f>
        <v>496eda84f786b4ccef146e151d4c706b</v>
      </c>
      <c r="AC79" s="25" t="str">
        <f ca="1">IFERROR(__xludf.DUMMYFUNCTION("""COMPUTED_VALUE"""),"2026-07-12T06:10:42.328Z")</f>
        <v>2026-07-12T06:10:42.328Z</v>
      </c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spans="1:40" ht="15" customHeight="1" x14ac:dyDescent="0.15">
      <c r="A80" s="21" t="str">
        <f ca="1">IFERROR(__xludf.DUMMYFUNCTION("""COMPUTED_VALUE"""),"2026-07-12T07:27:47.288Z")</f>
        <v>2026-07-12T07:27:47.288Z</v>
      </c>
      <c r="B80" s="21"/>
      <c r="C80" s="21"/>
      <c r="D80" s="21"/>
      <c r="E80" s="21" t="str">
        <f ca="1">IFERROR(__xludf.DUMMYFUNCTION("""COMPUTED_VALUE"""),"খুলনা")</f>
        <v>খুলনা</v>
      </c>
      <c r="F80" s="21" t="str">
        <f ca="1">IFERROR(__xludf.DUMMYFUNCTION("""COMPUTED_VALUE"""),"ডুমুরিয়া")</f>
        <v>ডুমুরিয়া</v>
      </c>
      <c r="G80" s="21" t="str">
        <f ca="1">IFERROR(__xludf.DUMMYFUNCTION("""COMPUTED_VALUE"""),"গুটুদিয়া")</f>
        <v>গুটুদিয়া</v>
      </c>
      <c r="H80" s="21"/>
      <c r="I80" s="21"/>
      <c r="J80" s="21"/>
      <c r="K80" s="21"/>
      <c r="L80" s="21"/>
      <c r="M80" s="21"/>
      <c r="N80" s="21"/>
      <c r="O80" s="21"/>
      <c r="P80" s="21"/>
      <c r="Q80" s="21">
        <f ca="1">IFERROR(__xludf.DUMMYFUNCTION("""COMPUTED_VALUE"""),0)</f>
        <v>0</v>
      </c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 t="str">
        <f ca="1">IFERROR(__xludf.DUMMYFUNCTION("""COMPUTED_VALUE"""),"496eda84f786b4ccef146e151d4c706b")</f>
        <v>496eda84f786b4ccef146e151d4c706b</v>
      </c>
      <c r="AC80" s="21" t="str">
        <f ca="1">IFERROR(__xludf.DUMMYFUNCTION("""COMPUTED_VALUE"""),"2026-07-12T07:27:47.288Z")</f>
        <v>2026-07-12T07:27:47.288Z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15" customHeight="1" x14ac:dyDescent="0.15">
      <c r="A81" s="25" t="str">
        <f ca="1">IFERROR(__xludf.DUMMYFUNCTION("""COMPUTED_VALUE"""),"2026-07-12T07:32:49.875Z")</f>
        <v>2026-07-12T07:32:49.875Z</v>
      </c>
      <c r="B81" s="25"/>
      <c r="C81" s="25"/>
      <c r="D81" s="25"/>
      <c r="E81" s="25" t="str">
        <f ca="1">IFERROR(__xludf.DUMMYFUNCTION("""COMPUTED_VALUE"""),"খুলনা")</f>
        <v>খুলনা</v>
      </c>
      <c r="F81" s="25" t="str">
        <f ca="1">IFERROR(__xludf.DUMMYFUNCTION("""COMPUTED_VALUE"""),"ডুমুরিয়া")</f>
        <v>ডুমুরিয়া</v>
      </c>
      <c r="G81" s="25" t="str">
        <f ca="1">IFERROR(__xludf.DUMMYFUNCTION("""COMPUTED_VALUE"""),"খর্ণিয়া")</f>
        <v>খর্ণিয়া</v>
      </c>
      <c r="H81" s="25"/>
      <c r="I81" s="25"/>
      <c r="J81" s="25"/>
      <c r="K81" s="25"/>
      <c r="L81" s="25"/>
      <c r="M81" s="25"/>
      <c r="N81" s="25"/>
      <c r="O81" s="25"/>
      <c r="P81" s="25"/>
      <c r="Q81" s="25">
        <f ca="1">IFERROR(__xludf.DUMMYFUNCTION("""COMPUTED_VALUE"""),0)</f>
        <v>0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 t="str">
        <f ca="1">IFERROR(__xludf.DUMMYFUNCTION("""COMPUTED_VALUE"""),"496eda84f786b4ccef146e151d4c706b")</f>
        <v>496eda84f786b4ccef146e151d4c706b</v>
      </c>
      <c r="AC81" s="25" t="str">
        <f ca="1">IFERROR(__xludf.DUMMYFUNCTION("""COMPUTED_VALUE"""),"2026-07-12T07:32:49.875Z")</f>
        <v>2026-07-12T07:32:49.875Z</v>
      </c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spans="1:40" ht="15" customHeight="1" x14ac:dyDescent="0.15">
      <c r="A82" s="21" t="str">
        <f ca="1">IFERROR(__xludf.DUMMYFUNCTION("""COMPUTED_VALUE"""),"2026-07-12T08:51:06.517Z")</f>
        <v>2026-07-12T08:51:06.517Z</v>
      </c>
      <c r="B82" s="21"/>
      <c r="C82" s="21"/>
      <c r="D82" s="21"/>
      <c r="E82" s="21" t="str">
        <f ca="1">IFERROR(__xludf.DUMMYFUNCTION("""COMPUTED_VALUE"""),"খাগড়াছড়ি")</f>
        <v>খাগড়াছড়ি</v>
      </c>
      <c r="F82" s="21" t="str">
        <f ca="1">IFERROR(__xludf.DUMMYFUNCTION("""COMPUTED_VALUE"""),"দীঘিনালা")</f>
        <v>দীঘিনালা</v>
      </c>
      <c r="G82" s="21" t="str">
        <f ca="1">IFERROR(__xludf.DUMMYFUNCTION("""COMPUTED_VALUE"""),"মেরং")</f>
        <v>মেরং</v>
      </c>
      <c r="H82" s="21"/>
      <c r="I82" s="21"/>
      <c r="J82" s="21"/>
      <c r="K82" s="21"/>
      <c r="L82" s="21"/>
      <c r="M82" s="21"/>
      <c r="N82" s="21"/>
      <c r="O82" s="21"/>
      <c r="P82" s="21"/>
      <c r="Q82" s="21">
        <f ca="1">IFERROR(__xludf.DUMMYFUNCTION("""COMPUTED_VALUE"""),0)</f>
        <v>0</v>
      </c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 t="str">
        <f ca="1">IFERROR(__xludf.DUMMYFUNCTION("""COMPUTED_VALUE"""),"496eda84f786b4ccef146e151d4c706b")</f>
        <v>496eda84f786b4ccef146e151d4c706b</v>
      </c>
      <c r="AC82" s="21" t="str">
        <f ca="1">IFERROR(__xludf.DUMMYFUNCTION("""COMPUTED_VALUE"""),"2026-07-12T08:51:06.517Z")</f>
        <v>2026-07-12T08:51:06.517Z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15" customHeight="1" x14ac:dyDescent="0.15">
      <c r="A83" s="25" t="str">
        <f ca="1">IFERROR(__xludf.DUMMYFUNCTION("""COMPUTED_VALUE"""),"2026-07-12T10:59:19.848Z")</f>
        <v>2026-07-12T10:59:19.848Z</v>
      </c>
      <c r="B83" s="25"/>
      <c r="C83" s="25"/>
      <c r="D83" s="25"/>
      <c r="E83" s="25" t="str">
        <f ca="1">IFERROR(__xludf.DUMMYFUNCTION("""COMPUTED_VALUE"""),"খাগড়াছড়ি")</f>
        <v>খাগড়াছড়ি</v>
      </c>
      <c r="F83" s="25" t="str">
        <f ca="1">IFERROR(__xludf.DUMMYFUNCTION("""COMPUTED_VALUE"""),"দীঘিনালা")</f>
        <v>দীঘিনালা</v>
      </c>
      <c r="G83" s="25" t="str">
        <f ca="1">IFERROR(__xludf.DUMMYFUNCTION("""COMPUTED_VALUE"""),"৫নং বাবুছড়া")</f>
        <v>৫নং বাবুছড়া</v>
      </c>
      <c r="H83" s="25"/>
      <c r="I83" s="25"/>
      <c r="J83" s="25"/>
      <c r="K83" s="25"/>
      <c r="L83" s="25"/>
      <c r="M83" s="25"/>
      <c r="N83" s="25"/>
      <c r="O83" s="25"/>
      <c r="P83" s="25"/>
      <c r="Q83" s="25">
        <f ca="1">IFERROR(__xludf.DUMMYFUNCTION("""COMPUTED_VALUE"""),0)</f>
        <v>0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 t="str">
        <f ca="1">IFERROR(__xludf.DUMMYFUNCTION("""COMPUTED_VALUE"""),"496eda84f786b4ccef146e151d4c706b")</f>
        <v>496eda84f786b4ccef146e151d4c706b</v>
      </c>
      <c r="AC83" s="25" t="str">
        <f ca="1">IFERROR(__xludf.DUMMYFUNCTION("""COMPUTED_VALUE"""),"2026-07-12T10:59:19.848Z")</f>
        <v>2026-07-12T10:59:19.848Z</v>
      </c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spans="1:40" ht="15" customHeight="1" x14ac:dyDescent="0.15">
      <c r="A84" s="21" t="str">
        <f ca="1">IFERROR(__xludf.DUMMYFUNCTION("""COMPUTED_VALUE"""),"2026-07-12T11:03:11.078Z")</f>
        <v>2026-07-12T11:03:11.078Z</v>
      </c>
      <c r="B84" s="21"/>
      <c r="C84" s="21"/>
      <c r="D84" s="21"/>
      <c r="E84" s="21" t="str">
        <f ca="1">IFERROR(__xludf.DUMMYFUNCTION("""COMPUTED_VALUE"""),"খাগড়াছড়ি")</f>
        <v>খাগড়াছড়ি</v>
      </c>
      <c r="F84" s="21" t="str">
        <f ca="1">IFERROR(__xludf.DUMMYFUNCTION("""COMPUTED_VALUE"""),"দীঘিনালা")</f>
        <v>দীঘিনালা</v>
      </c>
      <c r="G84" s="21" t="str">
        <f ca="1">IFERROR(__xludf.DUMMYFUNCTION("""COMPUTED_VALUE"""),"কবাখালী")</f>
        <v>কবাখালী</v>
      </c>
      <c r="H84" s="21"/>
      <c r="I84" s="21"/>
      <c r="J84" s="21"/>
      <c r="K84" s="21"/>
      <c r="L84" s="21"/>
      <c r="M84" s="21"/>
      <c r="N84" s="21"/>
      <c r="O84" s="21"/>
      <c r="P84" s="21"/>
      <c r="Q84" s="21">
        <f ca="1">IFERROR(__xludf.DUMMYFUNCTION("""COMPUTED_VALUE"""),0)</f>
        <v>0</v>
      </c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 t="str">
        <f ca="1">IFERROR(__xludf.DUMMYFUNCTION("""COMPUTED_VALUE"""),"496eda84f786b4ccef146e151d4c706b")</f>
        <v>496eda84f786b4ccef146e151d4c706b</v>
      </c>
      <c r="AC84" s="21" t="str">
        <f ca="1">IFERROR(__xludf.DUMMYFUNCTION("""COMPUTED_VALUE"""),"2026-07-12T11:03:11.078Z")</f>
        <v>2026-07-12T11:03:11.078Z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15" customHeight="1" x14ac:dyDescent="0.15">
      <c r="A85" s="25" t="str">
        <f ca="1">IFERROR(__xludf.DUMMYFUNCTION("""COMPUTED_VALUE"""),"2026-07-12T13:37:34.761Z")</f>
        <v>2026-07-12T13:37:34.761Z</v>
      </c>
      <c r="B85" s="25"/>
      <c r="C85" s="25"/>
      <c r="D85" s="25"/>
      <c r="E85" s="25" t="str">
        <f ca="1">IFERROR(__xludf.DUMMYFUNCTION("""COMPUTED_VALUE"""),"কুড়িগ্রাম")</f>
        <v>কুড়িগ্রাম</v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>
        <f ca="1">IFERROR(__xludf.DUMMYFUNCTION("""COMPUTED_VALUE"""),0)</f>
        <v>0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 t="str">
        <f ca="1">IFERROR(__xludf.DUMMYFUNCTION("""COMPUTED_VALUE"""),"496eda84f786b4ccef146e151d4c706b")</f>
        <v>496eda84f786b4ccef146e151d4c706b</v>
      </c>
      <c r="AC85" s="25" t="str">
        <f ca="1">IFERROR(__xludf.DUMMYFUNCTION("""COMPUTED_VALUE"""),"2026-07-12T13:37:34.761Z")</f>
        <v>2026-07-12T13:37:34.761Z</v>
      </c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spans="1:40" ht="15" customHeight="1" x14ac:dyDescent="0.15">
      <c r="A86" s="21" t="str">
        <f ca="1">IFERROR(__xludf.DUMMYFUNCTION("""COMPUTED_VALUE"""),"2026-07-12T14:27:35.428Z")</f>
        <v>2026-07-12T14:27:35.428Z</v>
      </c>
      <c r="B86" s="21"/>
      <c r="C86" s="21"/>
      <c r="D86" s="21"/>
      <c r="E86" s="21" t="str">
        <f ca="1">IFERROR(__xludf.DUMMYFUNCTION("""COMPUTED_VALUE"""),"কুড়িগ্রাম")</f>
        <v>কুড়িগ্রাম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>
        <f ca="1">IFERROR(__xludf.DUMMYFUNCTION("""COMPUTED_VALUE"""),0)</f>
        <v>0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 t="str">
        <f ca="1">IFERROR(__xludf.DUMMYFUNCTION("""COMPUTED_VALUE"""),"496eda84f786b4ccef146e151d4c706b")</f>
        <v>496eda84f786b4ccef146e151d4c706b</v>
      </c>
      <c r="AC86" s="21" t="str">
        <f ca="1">IFERROR(__xludf.DUMMYFUNCTION("""COMPUTED_VALUE"""),"2026-07-12T14:27:35.428Z")</f>
        <v>2026-07-12T14:27:35.428Z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15" customHeight="1" x14ac:dyDescent="0.15">
      <c r="A87" s="25" t="str">
        <f ca="1">IFERROR(__xludf.DUMMYFUNCTION("""COMPUTED_VALUE"""),"2026-07-14T16:42:14.890Z")</f>
        <v>2026-07-14T16:42:14.890Z</v>
      </c>
      <c r="B87" s="25"/>
      <c r="C87" s="25"/>
      <c r="D87" s="25"/>
      <c r="E87" s="25" t="str">
        <f ca="1">IFERROR(__xludf.DUMMYFUNCTION("""COMPUTED_VALUE"""),"কুড়িগ্রাম")</f>
        <v>কুড়িগ্রাম</v>
      </c>
      <c r="F87" s="25" t="str">
        <f ca="1">IFERROR(__xludf.DUMMYFUNCTION("""COMPUTED_VALUE"""),"কুড়িগ্রাম সদর")</f>
        <v>কুড়িগ্রাম সদর</v>
      </c>
      <c r="G87" s="25" t="str">
        <f ca="1">IFERROR(__xludf.DUMMYFUNCTION("""COMPUTED_VALUE"""),"মোগলবাসা")</f>
        <v>মোগলবাসা</v>
      </c>
      <c r="H87" s="25"/>
      <c r="I87" s="25"/>
      <c r="J87" s="25"/>
      <c r="K87" s="25"/>
      <c r="L87" s="25"/>
      <c r="M87" s="25"/>
      <c r="N87" s="25"/>
      <c r="O87" s="25"/>
      <c r="P87" s="25"/>
      <c r="Q87" s="25">
        <f ca="1">IFERROR(__xludf.DUMMYFUNCTION("""COMPUTED_VALUE"""),0)</f>
        <v>0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 t="str">
        <f ca="1">IFERROR(__xludf.DUMMYFUNCTION("""COMPUTED_VALUE"""),"496eda84f786b4ccef146e151d4c706b")</f>
        <v>496eda84f786b4ccef146e151d4c706b</v>
      </c>
      <c r="AC87" s="25" t="str">
        <f ca="1">IFERROR(__xludf.DUMMYFUNCTION("""COMPUTED_VALUE"""),"2026-07-14T16:42:14.890Z")</f>
        <v>2026-07-14T16:42:14.890Z</v>
      </c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spans="1:40" ht="15" customHeight="1" x14ac:dyDescent="0.15">
      <c r="A88" s="21"/>
      <c r="B88" s="21"/>
      <c r="C88" s="21" t="str">
        <f ca="1">IFERROR(__xludf.DUMMYFUNCTION("""COMPUTED_VALUE"""),"রংপুর")</f>
        <v>রংপুর</v>
      </c>
      <c r="D88" s="21" t="str">
        <f ca="1">IFERROR(__xludf.DUMMYFUNCTION("""COMPUTED_VALUE"""),"রংপুর")</f>
        <v>রংপুর</v>
      </c>
      <c r="E88" s="21" t="str">
        <f ca="1">IFERROR(__xludf.DUMMYFUNCTION("""COMPUTED_VALUE"""),"কুড়িগ্রাম")</f>
        <v>কুড়িগ্রাম</v>
      </c>
      <c r="F88" s="21" t="str">
        <f ca="1">IFERROR(__xludf.DUMMYFUNCTION("""COMPUTED_VALUE"""),"চর রাজিবপুর")</f>
        <v>চর রাজিবপুর</v>
      </c>
      <c r="G88" s="21"/>
      <c r="H88" s="21"/>
      <c r="I88" s="21"/>
      <c r="J88" s="21" t="str">
        <f ca="1">IFERROR(__xludf.DUMMYFUNCTION("""COMPUTED_VALUE"""),"প্রণোদনা")</f>
        <v>প্রণোদনা</v>
      </c>
      <c r="K88" s="21"/>
      <c r="L88" s="21">
        <f ca="1">IFERROR(__xludf.DUMMYFUNCTION("""COMPUTED_VALUE"""),25.46272)</f>
        <v>25.462720000000001</v>
      </c>
      <c r="M88" s="21">
        <f ca="1">IFERROR(__xludf.DUMMYFUNCTION("""COMPUTED_VALUE"""),89.80184)</f>
        <v>89.801839999999999</v>
      </c>
      <c r="N88" s="21"/>
      <c r="O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88" s="21" t="str">
        <f ca="1">IFERROR(__xludf.DUMMYFUNCTION("""COMPUTED_VALUE"""),"ফলদ, বনজ")</f>
        <v>ফলদ, বনজ</v>
      </c>
      <c r="Q88" s="21">
        <f ca="1">IFERROR(__xludf.DUMMYFUNCTION("""COMPUTED_VALUE"""),5)</f>
        <v>5</v>
      </c>
      <c r="R88" s="21"/>
      <c r="S88" s="21"/>
      <c r="T88" s="21"/>
      <c r="U88" s="21" t="str">
        <f ca="1">IFERROR(__xludf.DUMMYFUNCTION("""COMPUTED_VALUE"""),"মোঃ জাহিদুল ইসলাম")</f>
        <v>মোঃ জাহিদুল ইসলাম</v>
      </c>
      <c r="V88" s="21" t="str">
        <f ca="1">IFERROR(__xludf.DUMMYFUNCTION("""COMPUTED_VALUE"""),"১৯৫৪২৭৮৭৫৮")</f>
        <v>১৯৫৪২৭৮৭৫৮</v>
      </c>
      <c r="W88" s="21" t="str">
        <f ca="1">IFERROR(__xludf.DUMMYFUNCTION("""COMPUTED_VALUE"""),"মোঃ নজরুল ইসলাম")</f>
        <v>মোঃ নজরুল ইসলাম</v>
      </c>
      <c r="X88" s="21" t="str">
        <f ca="1">IFERROR(__xludf.DUMMYFUNCTION("""COMPUTED_VALUE"""),"১৯১৭১৮৬৬৮৫")</f>
        <v>১৯১৭১৮৬৬৮৫</v>
      </c>
      <c r="Y88" s="21"/>
      <c r="Z88" s="21"/>
      <c r="AA88" s="21"/>
      <c r="AB88" s="21"/>
      <c r="AC88" s="21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15" customHeight="1" x14ac:dyDescent="0.15">
      <c r="A89" s="25"/>
      <c r="B89" s="25"/>
      <c r="C89" s="25" t="str">
        <f ca="1">IFERROR(__xludf.DUMMYFUNCTION("""COMPUTED_VALUE"""),"রংপুর")</f>
        <v>রংপুর</v>
      </c>
      <c r="D89" s="25" t="str">
        <f ca="1">IFERROR(__xludf.DUMMYFUNCTION("""COMPUTED_VALUE"""),"রংপুর")</f>
        <v>রংপুর</v>
      </c>
      <c r="E89" s="25" t="str">
        <f ca="1">IFERROR(__xludf.DUMMYFUNCTION("""COMPUTED_VALUE"""),"কুড়িগ্রাম")</f>
        <v>কুড়িগ্রাম</v>
      </c>
      <c r="F89" s="25" t="str">
        <f ca="1">IFERROR(__xludf.DUMMYFUNCTION("""COMPUTED_VALUE"""),"চর রাজিবপুর")</f>
        <v>চর রাজিবপুর</v>
      </c>
      <c r="G89" s="25"/>
      <c r="H89" s="25"/>
      <c r="I89" s="25"/>
      <c r="J89" s="25" t="str">
        <f ca="1">IFERROR(__xludf.DUMMYFUNCTION("""COMPUTED_VALUE"""),"প্রণোদনা")</f>
        <v>প্রণোদনা</v>
      </c>
      <c r="K89" s="25"/>
      <c r="L89" s="25">
        <f ca="1">IFERROR(__xludf.DUMMYFUNCTION("""COMPUTED_VALUE"""),25.4597)</f>
        <v>25.459700000000002</v>
      </c>
      <c r="M89" s="25">
        <f ca="1">IFERROR(__xludf.DUMMYFUNCTION("""COMPUTED_VALUE"""),89.80306)</f>
        <v>89.803060000000002</v>
      </c>
      <c r="N89" s="25"/>
      <c r="O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89" s="25" t="str">
        <f ca="1">IFERROR(__xludf.DUMMYFUNCTION("""COMPUTED_VALUE"""),"ফলদ, বনজ")</f>
        <v>ফলদ, বনজ</v>
      </c>
      <c r="Q89" s="25">
        <f ca="1">IFERROR(__xludf.DUMMYFUNCTION("""COMPUTED_VALUE"""),5)</f>
        <v>5</v>
      </c>
      <c r="R89" s="25"/>
      <c r="S89" s="25"/>
      <c r="T89" s="25"/>
      <c r="U89" s="25" t="str">
        <f ca="1">IFERROR(__xludf.DUMMYFUNCTION("""COMPUTED_VALUE"""),"মোঃ আশরাফুল ইসলাম")</f>
        <v>মোঃ আশরাফুল ইসলাম</v>
      </c>
      <c r="V89" s="25" t="str">
        <f ca="1">IFERROR(__xludf.DUMMYFUNCTION("""COMPUTED_VALUE"""),"০১৯৩৪৯২৯৫৩৩")</f>
        <v>০১৯৩৪৯২৯৫৩৩</v>
      </c>
      <c r="W89" s="25" t="str">
        <f ca="1">IFERROR(__xludf.DUMMYFUNCTION("""COMPUTED_VALUE"""),"মোঃ নজরুল ইসলাম")</f>
        <v>মোঃ নজরুল ইসলাম</v>
      </c>
      <c r="X89" s="25" t="str">
        <f ca="1">IFERROR(__xludf.DUMMYFUNCTION("""COMPUTED_VALUE"""),"১৯১৭১৮৬৬৮৫")</f>
        <v>১৯১৭১৮৬৬৮৫</v>
      </c>
      <c r="Y89" s="25"/>
      <c r="Z89" s="25"/>
      <c r="AA89" s="25"/>
      <c r="AB89" s="25"/>
      <c r="AC89" s="25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spans="1:40" ht="15" customHeight="1" x14ac:dyDescent="0.15">
      <c r="A90" s="21"/>
      <c r="B90" s="21"/>
      <c r="C90" s="21" t="str">
        <f ca="1">IFERROR(__xludf.DUMMYFUNCTION("""COMPUTED_VALUE"""),"রংপুর")</f>
        <v>রংপুর</v>
      </c>
      <c r="D90" s="21" t="str">
        <f ca="1">IFERROR(__xludf.DUMMYFUNCTION("""COMPUTED_VALUE"""),"রংপুর")</f>
        <v>রংপুর</v>
      </c>
      <c r="E90" s="21" t="str">
        <f ca="1">IFERROR(__xludf.DUMMYFUNCTION("""COMPUTED_VALUE"""),"কুড়িগ্রাম")</f>
        <v>কুড়িগ্রাম</v>
      </c>
      <c r="F90" s="21" t="str">
        <f ca="1">IFERROR(__xludf.DUMMYFUNCTION("""COMPUTED_VALUE"""),"চর রাজিবপুর")</f>
        <v>চর রাজিবপুর</v>
      </c>
      <c r="G90" s="21"/>
      <c r="H90" s="21"/>
      <c r="I90" s="21"/>
      <c r="J90" s="21" t="str">
        <f ca="1">IFERROR(__xludf.DUMMYFUNCTION("""COMPUTED_VALUE"""),"প্রণোদনা")</f>
        <v>প্রণোদনা</v>
      </c>
      <c r="K90" s="21"/>
      <c r="L90" s="21">
        <f ca="1">IFERROR(__xludf.DUMMYFUNCTION("""COMPUTED_VALUE"""),25.46249)</f>
        <v>25.462489999999999</v>
      </c>
      <c r="M90" s="21">
        <f ca="1">IFERROR(__xludf.DUMMYFUNCTION("""COMPUTED_VALUE"""),89.80164)</f>
        <v>89.801640000000006</v>
      </c>
      <c r="N90" s="21"/>
      <c r="O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0" s="21" t="str">
        <f ca="1">IFERROR(__xludf.DUMMYFUNCTION("""COMPUTED_VALUE"""),"ফলদ, বনজ")</f>
        <v>ফলদ, বনজ</v>
      </c>
      <c r="Q90" s="21">
        <f ca="1">IFERROR(__xludf.DUMMYFUNCTION("""COMPUTED_VALUE"""),5)</f>
        <v>5</v>
      </c>
      <c r="R90" s="21"/>
      <c r="S90" s="21"/>
      <c r="T90" s="21"/>
      <c r="U90" s="21" t="str">
        <f ca="1">IFERROR(__xludf.DUMMYFUNCTION("""COMPUTED_VALUE"""),"মোঃ গোলাম মোস্তফা")</f>
        <v>মোঃ গোলাম মোস্তফা</v>
      </c>
      <c r="V90" s="21" t="str">
        <f ca="1">IFERROR(__xludf.DUMMYFUNCTION("""COMPUTED_VALUE"""),"০১৯৮৯৮৩৫৬৯১")</f>
        <v>০১৯৮৯৮৩৫৬৯১</v>
      </c>
      <c r="W90" s="21" t="str">
        <f ca="1">IFERROR(__xludf.DUMMYFUNCTION("""COMPUTED_VALUE"""),"মোঃ নজরুল ইসলাম")</f>
        <v>মোঃ নজরুল ইসলাম</v>
      </c>
      <c r="X90" s="21" t="str">
        <f ca="1">IFERROR(__xludf.DUMMYFUNCTION("""COMPUTED_VALUE"""),"১৯১৭১৮৬৬৮৫")</f>
        <v>১৯১৭১৮৬৬৮৫</v>
      </c>
      <c r="Y90" s="21"/>
      <c r="Z90" s="21"/>
      <c r="AA90" s="21"/>
      <c r="AB90" s="21"/>
      <c r="AC90" s="21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 spans="1:40" ht="15" customHeight="1" x14ac:dyDescent="0.15">
      <c r="A91" s="25"/>
      <c r="B91" s="25"/>
      <c r="C91" s="25" t="str">
        <f ca="1">IFERROR(__xludf.DUMMYFUNCTION("""COMPUTED_VALUE"""),"রংপুর")</f>
        <v>রংপুর</v>
      </c>
      <c r="D91" s="25" t="str">
        <f ca="1">IFERROR(__xludf.DUMMYFUNCTION("""COMPUTED_VALUE"""),"রংপুর")</f>
        <v>রংপুর</v>
      </c>
      <c r="E91" s="25" t="str">
        <f ca="1">IFERROR(__xludf.DUMMYFUNCTION("""COMPUTED_VALUE"""),"কুড়িগ্রাম")</f>
        <v>কুড়িগ্রাম</v>
      </c>
      <c r="F91" s="25" t="str">
        <f ca="1">IFERROR(__xludf.DUMMYFUNCTION("""COMPUTED_VALUE"""),"চর রাজিবপুর")</f>
        <v>চর রাজিবপুর</v>
      </c>
      <c r="G91" s="25"/>
      <c r="H91" s="25"/>
      <c r="I91" s="25"/>
      <c r="J91" s="25" t="str">
        <f ca="1">IFERROR(__xludf.DUMMYFUNCTION("""COMPUTED_VALUE"""),"প্রণোদনা")</f>
        <v>প্রণোদনা</v>
      </c>
      <c r="K91" s="25"/>
      <c r="L91" s="25">
        <f ca="1">IFERROR(__xludf.DUMMYFUNCTION("""COMPUTED_VALUE"""),25.4616)</f>
        <v>25.461600000000001</v>
      </c>
      <c r="M91" s="25">
        <f ca="1">IFERROR(__xludf.DUMMYFUNCTION("""COMPUTED_VALUE"""),89.8001)</f>
        <v>89.8001</v>
      </c>
      <c r="N91" s="25"/>
      <c r="O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1" s="25" t="str">
        <f ca="1">IFERROR(__xludf.DUMMYFUNCTION("""COMPUTED_VALUE"""),"ফলদ, বনজ")</f>
        <v>ফলদ, বনজ</v>
      </c>
      <c r="Q91" s="25">
        <f ca="1">IFERROR(__xludf.DUMMYFUNCTION("""COMPUTED_VALUE"""),5)</f>
        <v>5</v>
      </c>
      <c r="R91" s="25"/>
      <c r="S91" s="25"/>
      <c r="T91" s="25"/>
      <c r="U91" s="25" t="str">
        <f ca="1">IFERROR(__xludf.DUMMYFUNCTION("""COMPUTED_VALUE"""),"মোঃ ইব্রাহীম মিয়া")</f>
        <v>মোঃ ইব্রাহীম মিয়া</v>
      </c>
      <c r="V91" s="25" t="str">
        <f ca="1">IFERROR(__xludf.DUMMYFUNCTION("""COMPUTED_VALUE"""),"০১৯১৯৪৩০০৩১")</f>
        <v>০১৯১৯৪৩০০৩১</v>
      </c>
      <c r="W91" s="25" t="str">
        <f ca="1">IFERROR(__xludf.DUMMYFUNCTION("""COMPUTED_VALUE"""),"মোঃ নজরুল ইসলাম")</f>
        <v>মোঃ নজরুল ইসলাম</v>
      </c>
      <c r="X91" s="25" t="str">
        <f ca="1">IFERROR(__xludf.DUMMYFUNCTION("""COMPUTED_VALUE"""),"১৯১৭১৮৬৬৮৫")</f>
        <v>১৯১৭১৮৬৬৮৫</v>
      </c>
      <c r="Y91" s="25"/>
      <c r="Z91" s="25"/>
      <c r="AA91" s="25"/>
      <c r="AB91" s="25"/>
      <c r="AC91" s="25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spans="1:40" ht="15" customHeight="1" x14ac:dyDescent="0.15">
      <c r="A92" s="21"/>
      <c r="B92" s="21"/>
      <c r="C92" s="21" t="str">
        <f ca="1">IFERROR(__xludf.DUMMYFUNCTION("""COMPUTED_VALUE"""),"রংপুর")</f>
        <v>রংপুর</v>
      </c>
      <c r="D92" s="21" t="str">
        <f ca="1">IFERROR(__xludf.DUMMYFUNCTION("""COMPUTED_VALUE"""),"রংপুর")</f>
        <v>রংপুর</v>
      </c>
      <c r="E92" s="21" t="str">
        <f ca="1">IFERROR(__xludf.DUMMYFUNCTION("""COMPUTED_VALUE"""),"কুড়িগ্রাম")</f>
        <v>কুড়িগ্রাম</v>
      </c>
      <c r="F92" s="21" t="str">
        <f ca="1">IFERROR(__xludf.DUMMYFUNCTION("""COMPUTED_VALUE"""),"চর রাজিবপুর")</f>
        <v>চর রাজিবপুর</v>
      </c>
      <c r="G92" s="21"/>
      <c r="H92" s="21"/>
      <c r="I92" s="21"/>
      <c r="J92" s="21" t="str">
        <f ca="1">IFERROR(__xludf.DUMMYFUNCTION("""COMPUTED_VALUE"""),"প্রণোদনা")</f>
        <v>প্রণোদনা</v>
      </c>
      <c r="K92" s="21"/>
      <c r="L92" s="21">
        <f ca="1">IFERROR(__xludf.DUMMYFUNCTION("""COMPUTED_VALUE"""),25.45859)</f>
        <v>25.458590000000001</v>
      </c>
      <c r="M92" s="21">
        <f ca="1">IFERROR(__xludf.DUMMYFUNCTION("""COMPUTED_VALUE"""),89.80315)</f>
        <v>89.803150000000002</v>
      </c>
      <c r="N92" s="21"/>
      <c r="O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2" s="21" t="str">
        <f ca="1">IFERROR(__xludf.DUMMYFUNCTION("""COMPUTED_VALUE"""),"ফলদ, বনজ")</f>
        <v>ফলদ, বনজ</v>
      </c>
      <c r="Q92" s="21">
        <f ca="1">IFERROR(__xludf.DUMMYFUNCTION("""COMPUTED_VALUE"""),5)</f>
        <v>5</v>
      </c>
      <c r="R92" s="21"/>
      <c r="S92" s="21"/>
      <c r="T92" s="21"/>
      <c r="U92" s="21" t="str">
        <f ca="1">IFERROR(__xludf.DUMMYFUNCTION("""COMPUTED_VALUE"""),"মোঃ হাবিবুর রহমান")</f>
        <v>মোঃ হাবিবুর রহমান</v>
      </c>
      <c r="V92" s="21" t="str">
        <f ca="1">IFERROR(__xludf.DUMMYFUNCTION("""COMPUTED_VALUE"""),"০১৯৩৪৯২৮৭০৮")</f>
        <v>০১৯৩৪৯২৮৭০৮</v>
      </c>
      <c r="W92" s="21" t="str">
        <f ca="1">IFERROR(__xludf.DUMMYFUNCTION("""COMPUTED_VALUE"""),"মোঃ নজরুল ইসলাম")</f>
        <v>মোঃ নজরুল ইসলাম</v>
      </c>
      <c r="X92" s="21" t="str">
        <f ca="1">IFERROR(__xludf.DUMMYFUNCTION("""COMPUTED_VALUE"""),"১৯১৭১৮৬৬৮৫")</f>
        <v>১৯১৭১৮৬৬৮৫</v>
      </c>
      <c r="Y92" s="21"/>
      <c r="Z92" s="21"/>
      <c r="AA92" s="21"/>
      <c r="AB92" s="21"/>
      <c r="AC92" s="21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15" customHeight="1" x14ac:dyDescent="0.15">
      <c r="A93" s="25"/>
      <c r="B93" s="25"/>
      <c r="C93" s="25" t="str">
        <f ca="1">IFERROR(__xludf.DUMMYFUNCTION("""COMPUTED_VALUE"""),"রংপুর")</f>
        <v>রংপুর</v>
      </c>
      <c r="D93" s="25" t="str">
        <f ca="1">IFERROR(__xludf.DUMMYFUNCTION("""COMPUTED_VALUE"""),"রংপুর")</f>
        <v>রংপুর</v>
      </c>
      <c r="E93" s="25" t="str">
        <f ca="1">IFERROR(__xludf.DUMMYFUNCTION("""COMPUTED_VALUE"""),"কুড়িগ্রাম")</f>
        <v>কুড়িগ্রাম</v>
      </c>
      <c r="F93" s="25" t="str">
        <f ca="1">IFERROR(__xludf.DUMMYFUNCTION("""COMPUTED_VALUE"""),"চর রাজিবপুর")</f>
        <v>চর রাজিবপুর</v>
      </c>
      <c r="G93" s="25"/>
      <c r="H93" s="25"/>
      <c r="I93" s="25"/>
      <c r="J93" s="25" t="str">
        <f ca="1">IFERROR(__xludf.DUMMYFUNCTION("""COMPUTED_VALUE"""),"প্রণোদনা")</f>
        <v>প্রণোদনা</v>
      </c>
      <c r="K93" s="25"/>
      <c r="L93" s="25">
        <f ca="1">IFERROR(__xludf.DUMMYFUNCTION("""COMPUTED_VALUE"""),25.46175)</f>
        <v>25.461749999999999</v>
      </c>
      <c r="M93" s="25">
        <f ca="1">IFERROR(__xludf.DUMMYFUNCTION("""COMPUTED_VALUE"""),89.80015)</f>
        <v>89.800150000000002</v>
      </c>
      <c r="N93" s="25"/>
      <c r="O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3" s="25" t="str">
        <f ca="1">IFERROR(__xludf.DUMMYFUNCTION("""COMPUTED_VALUE"""),"ফলদ, বনজ")</f>
        <v>ফলদ, বনজ</v>
      </c>
      <c r="Q93" s="25">
        <f ca="1">IFERROR(__xludf.DUMMYFUNCTION("""COMPUTED_VALUE"""),5)</f>
        <v>5</v>
      </c>
      <c r="R93" s="25"/>
      <c r="S93" s="25"/>
      <c r="T93" s="25"/>
      <c r="U93" s="25" t="str">
        <f ca="1">IFERROR(__xludf.DUMMYFUNCTION("""COMPUTED_VALUE"""),"মোঃ ইয়াছিন আলী")</f>
        <v>মোঃ ইয়াছিন আলী</v>
      </c>
      <c r="V93" s="25" t="str">
        <f ca="1">IFERROR(__xludf.DUMMYFUNCTION("""COMPUTED_VALUE"""),"০১৭২৬৭৬০১৪৪")</f>
        <v>০১৭২৬৭৬০১৪৪</v>
      </c>
      <c r="W93" s="25" t="str">
        <f ca="1">IFERROR(__xludf.DUMMYFUNCTION("""COMPUTED_VALUE"""),"মোঃ নজরুল ইসলাম")</f>
        <v>মোঃ নজরুল ইসলাম</v>
      </c>
      <c r="X93" s="25" t="str">
        <f ca="1">IFERROR(__xludf.DUMMYFUNCTION("""COMPUTED_VALUE"""),"১৯১৭১৮৬৬৮৫")</f>
        <v>১৯১৭১৮৬৬৮৫</v>
      </c>
      <c r="Y93" s="25"/>
      <c r="Z93" s="25"/>
      <c r="AA93" s="25"/>
      <c r="AB93" s="25"/>
      <c r="AC93" s="25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spans="1:40" ht="15" customHeight="1" x14ac:dyDescent="0.15">
      <c r="A94" s="21"/>
      <c r="B94" s="21"/>
      <c r="C94" s="21" t="str">
        <f ca="1">IFERROR(__xludf.DUMMYFUNCTION("""COMPUTED_VALUE"""),"রংপুর")</f>
        <v>রংপুর</v>
      </c>
      <c r="D94" s="21" t="str">
        <f ca="1">IFERROR(__xludf.DUMMYFUNCTION("""COMPUTED_VALUE"""),"রংপুর")</f>
        <v>রংপুর</v>
      </c>
      <c r="E94" s="21" t="str">
        <f ca="1">IFERROR(__xludf.DUMMYFUNCTION("""COMPUTED_VALUE"""),"কুড়িগ্রাম")</f>
        <v>কুড়িগ্রাম</v>
      </c>
      <c r="F94" s="21" t="str">
        <f ca="1">IFERROR(__xludf.DUMMYFUNCTION("""COMPUTED_VALUE"""),"চর রাজিবপুর")</f>
        <v>চর রাজিবপুর</v>
      </c>
      <c r="G94" s="21"/>
      <c r="H94" s="21"/>
      <c r="I94" s="21"/>
      <c r="J94" s="21" t="str">
        <f ca="1">IFERROR(__xludf.DUMMYFUNCTION("""COMPUTED_VALUE"""),"প্রণোদনা")</f>
        <v>প্রণোদনা</v>
      </c>
      <c r="K94" s="21"/>
      <c r="L94" s="21">
        <f ca="1">IFERROR(__xludf.DUMMYFUNCTION("""COMPUTED_VALUE"""),25.4626)</f>
        <v>25.462599999999998</v>
      </c>
      <c r="M94" s="21">
        <f ca="1">IFERROR(__xludf.DUMMYFUNCTION("""COMPUTED_VALUE"""),89.8012)</f>
        <v>89.801199999999994</v>
      </c>
      <c r="N94" s="21"/>
      <c r="O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4" s="21" t="str">
        <f ca="1">IFERROR(__xludf.DUMMYFUNCTION("""COMPUTED_VALUE"""),"ফলদ, বনজ")</f>
        <v>ফলদ, বনজ</v>
      </c>
      <c r="Q94" s="21">
        <f ca="1">IFERROR(__xludf.DUMMYFUNCTION("""COMPUTED_VALUE"""),5)</f>
        <v>5</v>
      </c>
      <c r="R94" s="21"/>
      <c r="S94" s="21"/>
      <c r="T94" s="21"/>
      <c r="U94" s="21" t="str">
        <f ca="1">IFERROR(__xludf.DUMMYFUNCTION("""COMPUTED_VALUE"""),"মোঃ শাহাদত হোসেন")</f>
        <v>মোঃ শাহাদত হোসেন</v>
      </c>
      <c r="V94" s="21" t="str">
        <f ca="1">IFERROR(__xludf.DUMMYFUNCTION("""COMPUTED_VALUE"""),"০১৯১৯৪৩০০৩১")</f>
        <v>০১৯১৯৪৩০০৩১</v>
      </c>
      <c r="W94" s="21" t="str">
        <f ca="1">IFERROR(__xludf.DUMMYFUNCTION("""COMPUTED_VALUE"""),"মোঃ নজরুল ইসলাম")</f>
        <v>মোঃ নজরুল ইসলাম</v>
      </c>
      <c r="X94" s="21" t="str">
        <f ca="1">IFERROR(__xludf.DUMMYFUNCTION("""COMPUTED_VALUE"""),"১৯১৭১৮৬৬৮৫")</f>
        <v>১৯১৭১৮৬৬৮৫</v>
      </c>
      <c r="Y94" s="21"/>
      <c r="Z94" s="21"/>
      <c r="AA94" s="21"/>
      <c r="AB94" s="21"/>
      <c r="AC94" s="21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15" customHeight="1" x14ac:dyDescent="0.15">
      <c r="A95" s="25"/>
      <c r="B95" s="25"/>
      <c r="C95" s="25" t="str">
        <f ca="1">IFERROR(__xludf.DUMMYFUNCTION("""COMPUTED_VALUE"""),"রংপুর")</f>
        <v>রংপুর</v>
      </c>
      <c r="D95" s="25" t="str">
        <f ca="1">IFERROR(__xludf.DUMMYFUNCTION("""COMPUTED_VALUE"""),"রংপুর")</f>
        <v>রংপুর</v>
      </c>
      <c r="E95" s="25" t="str">
        <f ca="1">IFERROR(__xludf.DUMMYFUNCTION("""COMPUTED_VALUE"""),"কুড়িগ্রাম")</f>
        <v>কুড়িগ্রাম</v>
      </c>
      <c r="F95" s="25" t="str">
        <f ca="1">IFERROR(__xludf.DUMMYFUNCTION("""COMPUTED_VALUE"""),"চর রাজিবপুর")</f>
        <v>চর রাজিবপুর</v>
      </c>
      <c r="G95" s="25"/>
      <c r="H95" s="25"/>
      <c r="I95" s="25"/>
      <c r="J95" s="25" t="str">
        <f ca="1">IFERROR(__xludf.DUMMYFUNCTION("""COMPUTED_VALUE"""),"প্রণোদনা")</f>
        <v>প্রণোদনা</v>
      </c>
      <c r="K95" s="25"/>
      <c r="L95" s="25">
        <f ca="1">IFERROR(__xludf.DUMMYFUNCTION("""COMPUTED_VALUE"""),25.44285)</f>
        <v>25.44285</v>
      </c>
      <c r="M95" s="25">
        <f ca="1">IFERROR(__xludf.DUMMYFUNCTION("""COMPUTED_VALUE"""),89.78961)</f>
        <v>89.789609999999996</v>
      </c>
      <c r="N95" s="25"/>
      <c r="O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5" s="25" t="str">
        <f ca="1">IFERROR(__xludf.DUMMYFUNCTION("""COMPUTED_VALUE"""),"ফলদ, বনজ")</f>
        <v>ফলদ, বনজ</v>
      </c>
      <c r="Q95" s="25">
        <f ca="1">IFERROR(__xludf.DUMMYFUNCTION("""COMPUTED_VALUE"""),5)</f>
        <v>5</v>
      </c>
      <c r="R95" s="25"/>
      <c r="S95" s="25"/>
      <c r="T95" s="25"/>
      <c r="U95" s="25" t="str">
        <f ca="1">IFERROR(__xludf.DUMMYFUNCTION("""COMPUTED_VALUE"""),"মোঃ আঃ ছাত্তার")</f>
        <v>মোঃ আঃ ছাত্তার</v>
      </c>
      <c r="V95" s="25" t="str">
        <f ca="1">IFERROR(__xludf.DUMMYFUNCTION("""COMPUTED_VALUE"""),"০১৬১৪৯৮৬৬০৬")</f>
        <v>০১৬১৪৯৮৬৬০৬</v>
      </c>
      <c r="W95" s="25" t="str">
        <f ca="1">IFERROR(__xludf.DUMMYFUNCTION("""COMPUTED_VALUE"""),"মোঃ নজরুল ইসলাম")</f>
        <v>মোঃ নজরুল ইসলাম</v>
      </c>
      <c r="X95" s="25" t="str">
        <f ca="1">IFERROR(__xludf.DUMMYFUNCTION("""COMPUTED_VALUE"""),"১৯১৭১৮৬৬৮৫")</f>
        <v>১৯১৭১৮৬৬৮৫</v>
      </c>
      <c r="Y95" s="25"/>
      <c r="Z95" s="25"/>
      <c r="AA95" s="25"/>
      <c r="AB95" s="25"/>
      <c r="AC95" s="25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spans="1:40" ht="15" customHeight="1" x14ac:dyDescent="0.15">
      <c r="A96" s="21"/>
      <c r="B96" s="21"/>
      <c r="C96" s="21" t="str">
        <f ca="1">IFERROR(__xludf.DUMMYFUNCTION("""COMPUTED_VALUE"""),"রংপুর")</f>
        <v>রংপুর</v>
      </c>
      <c r="D96" s="21" t="str">
        <f ca="1">IFERROR(__xludf.DUMMYFUNCTION("""COMPUTED_VALUE"""),"রংপুর")</f>
        <v>রংপুর</v>
      </c>
      <c r="E96" s="21" t="str">
        <f ca="1">IFERROR(__xludf.DUMMYFUNCTION("""COMPUTED_VALUE"""),"কুড়িগ্রাম")</f>
        <v>কুড়িগ্রাম</v>
      </c>
      <c r="F96" s="21" t="str">
        <f ca="1">IFERROR(__xludf.DUMMYFUNCTION("""COMPUTED_VALUE"""),"চর রাজিবপুর")</f>
        <v>চর রাজিবপুর</v>
      </c>
      <c r="G96" s="21"/>
      <c r="H96" s="21"/>
      <c r="I96" s="21"/>
      <c r="J96" s="21" t="str">
        <f ca="1">IFERROR(__xludf.DUMMYFUNCTION("""COMPUTED_VALUE"""),"প্রণোদনা")</f>
        <v>প্রণোদনা</v>
      </c>
      <c r="K96" s="21"/>
      <c r="L96" s="21">
        <f ca="1">IFERROR(__xludf.DUMMYFUNCTION("""COMPUTED_VALUE"""),25.46239)</f>
        <v>25.462389999999999</v>
      </c>
      <c r="M96" s="21">
        <f ca="1">IFERROR(__xludf.DUMMYFUNCTION("""COMPUTED_VALUE"""),89.80166)</f>
        <v>89.801659999999998</v>
      </c>
      <c r="N96" s="21"/>
      <c r="O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6" s="21" t="str">
        <f ca="1">IFERROR(__xludf.DUMMYFUNCTION("""COMPUTED_VALUE"""),"ফলদ, বনজ")</f>
        <v>ফলদ, বনজ</v>
      </c>
      <c r="Q96" s="21">
        <f ca="1">IFERROR(__xludf.DUMMYFUNCTION("""COMPUTED_VALUE"""),5)</f>
        <v>5</v>
      </c>
      <c r="R96" s="21"/>
      <c r="S96" s="21"/>
      <c r="T96" s="21"/>
      <c r="U96" s="21" t="str">
        <f ca="1">IFERROR(__xludf.DUMMYFUNCTION("""COMPUTED_VALUE"""),"মোঃ সিরাজুল ইসলাম")</f>
        <v>মোঃ সিরাজুল ইসলাম</v>
      </c>
      <c r="V96" s="21" t="str">
        <f ca="1">IFERROR(__xludf.DUMMYFUNCTION("""COMPUTED_VALUE"""),"০১৯৩০৩৯০৪৪২")</f>
        <v>০১৯৩০৩৯০৪৪২</v>
      </c>
      <c r="W96" s="21" t="str">
        <f ca="1">IFERROR(__xludf.DUMMYFUNCTION("""COMPUTED_VALUE"""),"মোঃ নজরুল ইসলাম")</f>
        <v>মোঃ নজরুল ইসলাম</v>
      </c>
      <c r="X96" s="21" t="str">
        <f ca="1">IFERROR(__xludf.DUMMYFUNCTION("""COMPUTED_VALUE"""),"১৯১৭১৮৬৬৮৫")</f>
        <v>১৯১৭১৮৬৬৮৫</v>
      </c>
      <c r="Y96" s="21"/>
      <c r="Z96" s="21"/>
      <c r="AA96" s="21"/>
      <c r="AB96" s="21"/>
      <c r="AC96" s="21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15" customHeight="1" x14ac:dyDescent="0.15">
      <c r="A97" s="25"/>
      <c r="B97" s="25"/>
      <c r="C97" s="25" t="str">
        <f ca="1">IFERROR(__xludf.DUMMYFUNCTION("""COMPUTED_VALUE"""),"রংপুর")</f>
        <v>রংপুর</v>
      </c>
      <c r="D97" s="25" t="str">
        <f ca="1">IFERROR(__xludf.DUMMYFUNCTION("""COMPUTED_VALUE"""),"রংপুর")</f>
        <v>রংপুর</v>
      </c>
      <c r="E97" s="25" t="str">
        <f ca="1">IFERROR(__xludf.DUMMYFUNCTION("""COMPUTED_VALUE"""),"কুড়িগ্রাম")</f>
        <v>কুড়িগ্রাম</v>
      </c>
      <c r="F97" s="25" t="str">
        <f ca="1">IFERROR(__xludf.DUMMYFUNCTION("""COMPUTED_VALUE"""),"চর রাজিবপুর")</f>
        <v>চর রাজিবপুর</v>
      </c>
      <c r="G97" s="25"/>
      <c r="H97" s="25"/>
      <c r="I97" s="25"/>
      <c r="J97" s="25" t="str">
        <f ca="1">IFERROR(__xludf.DUMMYFUNCTION("""COMPUTED_VALUE"""),"প্রণোদনা")</f>
        <v>প্রণোদনা</v>
      </c>
      <c r="K97" s="25"/>
      <c r="L97" s="25">
        <f ca="1">IFERROR(__xludf.DUMMYFUNCTION("""COMPUTED_VALUE"""),25.46215)</f>
        <v>25.462150000000001</v>
      </c>
      <c r="M97" s="25">
        <f ca="1">IFERROR(__xludf.DUMMYFUNCTION("""COMPUTED_VALUE"""),89.80161)</f>
        <v>89.801609999999997</v>
      </c>
      <c r="N97" s="25"/>
      <c r="O9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7" s="25" t="str">
        <f ca="1">IFERROR(__xludf.DUMMYFUNCTION("""COMPUTED_VALUE"""),"ফলদ, বনজ")</f>
        <v>ফলদ, বনজ</v>
      </c>
      <c r="Q97" s="25">
        <f ca="1">IFERROR(__xludf.DUMMYFUNCTION("""COMPUTED_VALUE"""),5)</f>
        <v>5</v>
      </c>
      <c r="R97" s="25"/>
      <c r="S97" s="25"/>
      <c r="T97" s="25"/>
      <c r="U97" s="25" t="str">
        <f ca="1">IFERROR(__xludf.DUMMYFUNCTION("""COMPUTED_VALUE"""),"মোঃ ছয়নুদ্দিন")</f>
        <v>মোঃ ছয়নুদ্দিন</v>
      </c>
      <c r="V97" s="25" t="str">
        <f ca="1">IFERROR(__xludf.DUMMYFUNCTION("""COMPUTED_VALUE"""),"০১৯৪৩০৭১৯২২")</f>
        <v>০১৯৪৩০৭১৯২২</v>
      </c>
      <c r="W97" s="25" t="str">
        <f ca="1">IFERROR(__xludf.DUMMYFUNCTION("""COMPUTED_VALUE"""),"মোঃ নজরুল ইসলাম")</f>
        <v>মোঃ নজরুল ইসলাম</v>
      </c>
      <c r="X97" s="25" t="str">
        <f ca="1">IFERROR(__xludf.DUMMYFUNCTION("""COMPUTED_VALUE"""),"১৯১৭১৮৬৬৮৫")</f>
        <v>১৯১৭১৮৬৬৮৫</v>
      </c>
      <c r="Y97" s="25"/>
      <c r="Z97" s="25"/>
      <c r="AA97" s="25"/>
      <c r="AB97" s="25"/>
      <c r="AC97" s="25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spans="1:40" ht="15" customHeight="1" x14ac:dyDescent="0.15">
      <c r="A98" s="21"/>
      <c r="B98" s="21"/>
      <c r="C98" s="21" t="str">
        <f ca="1">IFERROR(__xludf.DUMMYFUNCTION("""COMPUTED_VALUE"""),"রংপুর")</f>
        <v>রংপুর</v>
      </c>
      <c r="D98" s="21" t="str">
        <f ca="1">IFERROR(__xludf.DUMMYFUNCTION("""COMPUTED_VALUE"""),"রংপুর")</f>
        <v>রংপুর</v>
      </c>
      <c r="E98" s="21" t="str">
        <f ca="1">IFERROR(__xludf.DUMMYFUNCTION("""COMPUTED_VALUE"""),"কুড়িগ্রাম")</f>
        <v>কুড়িগ্রাম</v>
      </c>
      <c r="F98" s="21" t="str">
        <f ca="1">IFERROR(__xludf.DUMMYFUNCTION("""COMPUTED_VALUE"""),"চর রাজিবপুর")</f>
        <v>চর রাজিবপুর</v>
      </c>
      <c r="G98" s="21"/>
      <c r="H98" s="21"/>
      <c r="I98" s="21"/>
      <c r="J98" s="21" t="str">
        <f ca="1">IFERROR(__xludf.DUMMYFUNCTION("""COMPUTED_VALUE"""),"প্রণোদনা")</f>
        <v>প্রণোদনা</v>
      </c>
      <c r="K98" s="21"/>
      <c r="L98" s="21">
        <f ca="1">IFERROR(__xludf.DUMMYFUNCTION("""COMPUTED_VALUE"""),25.44121)</f>
        <v>25.441210000000002</v>
      </c>
      <c r="M98" s="21">
        <f ca="1">IFERROR(__xludf.DUMMYFUNCTION("""COMPUTED_VALUE"""),89.78539)</f>
        <v>89.785390000000007</v>
      </c>
      <c r="N98" s="21"/>
      <c r="O9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8" s="21" t="str">
        <f ca="1">IFERROR(__xludf.DUMMYFUNCTION("""COMPUTED_VALUE"""),"ফলদ, বনজ")</f>
        <v>ফলদ, বনজ</v>
      </c>
      <c r="Q98" s="21">
        <f ca="1">IFERROR(__xludf.DUMMYFUNCTION("""COMPUTED_VALUE"""),5)</f>
        <v>5</v>
      </c>
      <c r="R98" s="21"/>
      <c r="S98" s="21"/>
      <c r="T98" s="21"/>
      <c r="U98" s="21" t="str">
        <f ca="1">IFERROR(__xludf.DUMMYFUNCTION("""COMPUTED_VALUE"""),"মোছাঃ সুলতানা পারভীন")</f>
        <v>মোছাঃ সুলতানা পারভীন</v>
      </c>
      <c r="V98" s="21" t="str">
        <f ca="1">IFERROR(__xludf.DUMMYFUNCTION("""COMPUTED_VALUE"""),"০১৯৮৯৩৩৯৫৭৬")</f>
        <v>০১৯৮৯৩৩৯৫৭৬</v>
      </c>
      <c r="W98" s="21" t="str">
        <f ca="1">IFERROR(__xludf.DUMMYFUNCTION("""COMPUTED_VALUE"""),"মোঃ নজরুল ইসলাম")</f>
        <v>মোঃ নজরুল ইসলাম</v>
      </c>
      <c r="X98" s="21" t="str">
        <f ca="1">IFERROR(__xludf.DUMMYFUNCTION("""COMPUTED_VALUE"""),"১৯১৭১৮৬৬৮৫")</f>
        <v>১৯১৭১৮৬৬৮৫</v>
      </c>
      <c r="Y98" s="21"/>
      <c r="Z98" s="21"/>
      <c r="AA98" s="21"/>
      <c r="AB98" s="21"/>
      <c r="AC98" s="21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15" customHeight="1" x14ac:dyDescent="0.15">
      <c r="A99" s="25"/>
      <c r="B99" s="25"/>
      <c r="C99" s="25" t="str">
        <f ca="1">IFERROR(__xludf.DUMMYFUNCTION("""COMPUTED_VALUE"""),"রংপুর")</f>
        <v>রংপুর</v>
      </c>
      <c r="D99" s="25" t="str">
        <f ca="1">IFERROR(__xludf.DUMMYFUNCTION("""COMPUTED_VALUE"""),"রংপুর")</f>
        <v>রংপুর</v>
      </c>
      <c r="E99" s="25" t="str">
        <f ca="1">IFERROR(__xludf.DUMMYFUNCTION("""COMPUTED_VALUE"""),"কুড়িগ্রাম")</f>
        <v>কুড়িগ্রাম</v>
      </c>
      <c r="F99" s="25" t="str">
        <f ca="1">IFERROR(__xludf.DUMMYFUNCTION("""COMPUTED_VALUE"""),"চর রাজিবপুর")</f>
        <v>চর রাজিবপুর</v>
      </c>
      <c r="G99" s="25"/>
      <c r="H99" s="25"/>
      <c r="I99" s="25"/>
      <c r="J99" s="25" t="str">
        <f ca="1">IFERROR(__xludf.DUMMYFUNCTION("""COMPUTED_VALUE"""),"প্রণোদনা")</f>
        <v>প্রণোদনা</v>
      </c>
      <c r="K99" s="25"/>
      <c r="L99" s="25">
        <f ca="1">IFERROR(__xludf.DUMMYFUNCTION("""COMPUTED_VALUE"""),25.44401)</f>
        <v>25.444009999999999</v>
      </c>
      <c r="M99" s="25">
        <f ca="1">IFERROR(__xludf.DUMMYFUNCTION("""COMPUTED_VALUE"""),89.78675)</f>
        <v>89.786749999999998</v>
      </c>
      <c r="N99" s="25"/>
      <c r="O9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9" s="25" t="str">
        <f ca="1">IFERROR(__xludf.DUMMYFUNCTION("""COMPUTED_VALUE"""),"ফলদ, বনজ")</f>
        <v>ফলদ, বনজ</v>
      </c>
      <c r="Q99" s="25">
        <f ca="1">IFERROR(__xludf.DUMMYFUNCTION("""COMPUTED_VALUE"""),5)</f>
        <v>5</v>
      </c>
      <c r="R99" s="25"/>
      <c r="S99" s="25"/>
      <c r="T99" s="25"/>
      <c r="U99" s="25" t="str">
        <f ca="1">IFERROR(__xludf.DUMMYFUNCTION("""COMPUTED_VALUE"""),"মোঃ ছরোয়ার হোসেন")</f>
        <v>মোঃ ছরোয়ার হোসেন</v>
      </c>
      <c r="V99" s="25" t="str">
        <f ca="1">IFERROR(__xludf.DUMMYFUNCTION("""COMPUTED_VALUE"""),"০১৯০৩১২৪৮৮১")</f>
        <v>০১৯০৩১২৪৮৮১</v>
      </c>
      <c r="W99" s="25" t="str">
        <f ca="1">IFERROR(__xludf.DUMMYFUNCTION("""COMPUTED_VALUE"""),"মোঃ নজরুল ইসলাম")</f>
        <v>মোঃ নজরুল ইসলাম</v>
      </c>
      <c r="X99" s="25" t="str">
        <f ca="1">IFERROR(__xludf.DUMMYFUNCTION("""COMPUTED_VALUE"""),"১৯১৭১৮৬৬৮৫")</f>
        <v>১৯১৭১৮৬৬৮৫</v>
      </c>
      <c r="Y99" s="25"/>
      <c r="Z99" s="25"/>
      <c r="AA99" s="25"/>
      <c r="AB99" s="25"/>
      <c r="AC99" s="25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spans="1:40" ht="15" customHeight="1" x14ac:dyDescent="0.15">
      <c r="A100" s="21"/>
      <c r="B100" s="21"/>
      <c r="C100" s="21" t="str">
        <f ca="1">IFERROR(__xludf.DUMMYFUNCTION("""COMPUTED_VALUE"""),"রংপুর")</f>
        <v>রংপুর</v>
      </c>
      <c r="D100" s="21" t="str">
        <f ca="1">IFERROR(__xludf.DUMMYFUNCTION("""COMPUTED_VALUE"""),"রংপুর")</f>
        <v>রংপুর</v>
      </c>
      <c r="E100" s="21" t="str">
        <f ca="1">IFERROR(__xludf.DUMMYFUNCTION("""COMPUTED_VALUE"""),"কুড়িগ্রাম")</f>
        <v>কুড়িগ্রাম</v>
      </c>
      <c r="F100" s="21" t="str">
        <f ca="1">IFERROR(__xludf.DUMMYFUNCTION("""COMPUTED_VALUE"""),"চর রাজিবপুর")</f>
        <v>চর রাজিবপুর</v>
      </c>
      <c r="G100" s="21"/>
      <c r="H100" s="21"/>
      <c r="I100" s="21"/>
      <c r="J100" s="21" t="str">
        <f ca="1">IFERROR(__xludf.DUMMYFUNCTION("""COMPUTED_VALUE"""),"প্রণোদনা")</f>
        <v>প্রণোদনা</v>
      </c>
      <c r="K100" s="21"/>
      <c r="L100" s="21">
        <f ca="1">IFERROR(__xludf.DUMMYFUNCTION("""COMPUTED_VALUE"""),25.44063)</f>
        <v>25.440629999999999</v>
      </c>
      <c r="M100" s="21">
        <f ca="1">IFERROR(__xludf.DUMMYFUNCTION("""COMPUTED_VALUE"""),89.78534)</f>
        <v>89.785340000000005</v>
      </c>
      <c r="N100" s="21"/>
      <c r="O10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0" s="21" t="str">
        <f ca="1">IFERROR(__xludf.DUMMYFUNCTION("""COMPUTED_VALUE"""),"ফলদ, বনজ")</f>
        <v>ফলদ, বনজ</v>
      </c>
      <c r="Q100" s="21">
        <f ca="1">IFERROR(__xludf.DUMMYFUNCTION("""COMPUTED_VALUE"""),5)</f>
        <v>5</v>
      </c>
      <c r="R100" s="21"/>
      <c r="S100" s="21"/>
      <c r="T100" s="21"/>
      <c r="U100" s="21" t="str">
        <f ca="1">IFERROR(__xludf.DUMMYFUNCTION("""COMPUTED_VALUE"""),"মোছাঃ শরিফা খাতুন")</f>
        <v>মোছাঃ শরিফা খাতুন</v>
      </c>
      <c r="V100" s="21" t="str">
        <f ca="1">IFERROR(__xludf.DUMMYFUNCTION("""COMPUTED_VALUE"""),"০১৯১৪৯৪৩৪৬৪")</f>
        <v>০১৯১৪৯৪৩৪৬৪</v>
      </c>
      <c r="W100" s="21" t="str">
        <f ca="1">IFERROR(__xludf.DUMMYFUNCTION("""COMPUTED_VALUE"""),"মোঃ নজরুল ইসলাম")</f>
        <v>মোঃ নজরুল ইসলাম</v>
      </c>
      <c r="X100" s="21" t="str">
        <f ca="1">IFERROR(__xludf.DUMMYFUNCTION("""COMPUTED_VALUE"""),"১৯১৭১৮৬৬৮৫")</f>
        <v>১৯১৭১৮৬৬৮৫</v>
      </c>
      <c r="Y100" s="21"/>
      <c r="Z100" s="21"/>
      <c r="AA100" s="21"/>
      <c r="AB100" s="21"/>
      <c r="AC100" s="21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15" customHeight="1" x14ac:dyDescent="0.15">
      <c r="A101" s="25"/>
      <c r="B101" s="25"/>
      <c r="C101" s="25" t="str">
        <f ca="1">IFERROR(__xludf.DUMMYFUNCTION("""COMPUTED_VALUE"""),"রংপুর")</f>
        <v>রংপুর</v>
      </c>
      <c r="D101" s="25" t="str">
        <f ca="1">IFERROR(__xludf.DUMMYFUNCTION("""COMPUTED_VALUE"""),"রংপুর")</f>
        <v>রংপুর</v>
      </c>
      <c r="E101" s="25" t="str">
        <f ca="1">IFERROR(__xludf.DUMMYFUNCTION("""COMPUTED_VALUE"""),"কুড়িগ্রাম")</f>
        <v>কুড়িগ্রাম</v>
      </c>
      <c r="F101" s="25" t="str">
        <f ca="1">IFERROR(__xludf.DUMMYFUNCTION("""COMPUTED_VALUE"""),"চর রাজিবপুর")</f>
        <v>চর রাজিবপুর</v>
      </c>
      <c r="G101" s="25"/>
      <c r="H101" s="25"/>
      <c r="I101" s="25"/>
      <c r="J101" s="25" t="str">
        <f ca="1">IFERROR(__xludf.DUMMYFUNCTION("""COMPUTED_VALUE"""),"প্রণোদনা")</f>
        <v>প্রণোদনা</v>
      </c>
      <c r="K101" s="25"/>
      <c r="L101" s="25">
        <f ca="1">IFERROR(__xludf.DUMMYFUNCTION("""COMPUTED_VALUE"""),25.43533)</f>
        <v>25.43533</v>
      </c>
      <c r="M101" s="25">
        <f ca="1">IFERROR(__xludf.DUMMYFUNCTION("""COMPUTED_VALUE"""),89.77657)</f>
        <v>89.776570000000007</v>
      </c>
      <c r="N101" s="25"/>
      <c r="O10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1" s="25" t="str">
        <f ca="1">IFERROR(__xludf.DUMMYFUNCTION("""COMPUTED_VALUE"""),"ফলদ, বনজ")</f>
        <v>ফলদ, বনজ</v>
      </c>
      <c r="Q101" s="25">
        <f ca="1">IFERROR(__xludf.DUMMYFUNCTION("""COMPUTED_VALUE"""),5)</f>
        <v>5</v>
      </c>
      <c r="R101" s="25"/>
      <c r="S101" s="25"/>
      <c r="T101" s="25"/>
      <c r="U101" s="25" t="str">
        <f ca="1">IFERROR(__xludf.DUMMYFUNCTION("""COMPUTED_VALUE"""),"মোছাঃ আনিছা খাতুন")</f>
        <v>মোছাঃ আনিছা খাতুন</v>
      </c>
      <c r="V101" s="25" t="str">
        <f ca="1">IFERROR(__xludf.DUMMYFUNCTION("""COMPUTED_VALUE"""),"০১৯৫৫১৫৬৪৪৭")</f>
        <v>০১৯৫৫১৫৬৪৪৭</v>
      </c>
      <c r="W101" s="25" t="str">
        <f ca="1">IFERROR(__xludf.DUMMYFUNCTION("""COMPUTED_VALUE"""),"মোঃ নজরুল ইসলাম")</f>
        <v>মোঃ নজরুল ইসলাম</v>
      </c>
      <c r="X101" s="25" t="str">
        <f ca="1">IFERROR(__xludf.DUMMYFUNCTION("""COMPUTED_VALUE"""),"১৯১৭১৮৬৬৮৫")</f>
        <v>১৯১৭১৮৬৬৮৫</v>
      </c>
      <c r="Y101" s="25"/>
      <c r="Z101" s="25"/>
      <c r="AA101" s="25"/>
      <c r="AB101" s="25"/>
      <c r="AC101" s="25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spans="1:40" ht="15" customHeight="1" x14ac:dyDescent="0.15">
      <c r="A102" s="21"/>
      <c r="B102" s="21"/>
      <c r="C102" s="21" t="str">
        <f ca="1">IFERROR(__xludf.DUMMYFUNCTION("""COMPUTED_VALUE"""),"রংপুর")</f>
        <v>রংপুর</v>
      </c>
      <c r="D102" s="21" t="str">
        <f ca="1">IFERROR(__xludf.DUMMYFUNCTION("""COMPUTED_VALUE"""),"রংপুর")</f>
        <v>রংপুর</v>
      </c>
      <c r="E102" s="21" t="str">
        <f ca="1">IFERROR(__xludf.DUMMYFUNCTION("""COMPUTED_VALUE"""),"কুড়িগ্রাম")</f>
        <v>কুড়িগ্রাম</v>
      </c>
      <c r="F102" s="21" t="str">
        <f ca="1">IFERROR(__xludf.DUMMYFUNCTION("""COMPUTED_VALUE"""),"চর রাজিবপুর")</f>
        <v>চর রাজিবপুর</v>
      </c>
      <c r="G102" s="21"/>
      <c r="H102" s="21"/>
      <c r="I102" s="21"/>
      <c r="J102" s="21" t="str">
        <f ca="1">IFERROR(__xludf.DUMMYFUNCTION("""COMPUTED_VALUE"""),"প্রণোদনা")</f>
        <v>প্রণোদনা</v>
      </c>
      <c r="K102" s="21"/>
      <c r="L102" s="21">
        <f ca="1">IFERROR(__xludf.DUMMYFUNCTION("""COMPUTED_VALUE"""),25.44216)</f>
        <v>25.442160000000001</v>
      </c>
      <c r="M102" s="21">
        <f ca="1">IFERROR(__xludf.DUMMYFUNCTION("""COMPUTED_VALUE"""),89.78666)</f>
        <v>89.786659999999998</v>
      </c>
      <c r="N102" s="21"/>
      <c r="O10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2" s="21" t="str">
        <f ca="1">IFERROR(__xludf.DUMMYFUNCTION("""COMPUTED_VALUE"""),"ফলদ, বনজ")</f>
        <v>ফলদ, বনজ</v>
      </c>
      <c r="Q102" s="21">
        <f ca="1">IFERROR(__xludf.DUMMYFUNCTION("""COMPUTED_VALUE"""),5)</f>
        <v>5</v>
      </c>
      <c r="R102" s="21"/>
      <c r="S102" s="21"/>
      <c r="T102" s="21"/>
      <c r="U102" s="21" t="str">
        <f ca="1">IFERROR(__xludf.DUMMYFUNCTION("""COMPUTED_VALUE"""),"মোছাঃ মজিরন খাতুন")</f>
        <v>মোছাঃ মজিরন খাতুন</v>
      </c>
      <c r="V102" s="21" t="str">
        <f ca="1">IFERROR(__xludf.DUMMYFUNCTION("""COMPUTED_VALUE"""),"০১৯৭৭৮৮২৪৭৪")</f>
        <v>০১৯৭৭৮৮২৪৭৪</v>
      </c>
      <c r="W102" s="21" t="str">
        <f ca="1">IFERROR(__xludf.DUMMYFUNCTION("""COMPUTED_VALUE"""),"মোঃ নজরুল ইসলাম")</f>
        <v>মোঃ নজরুল ইসলাম</v>
      </c>
      <c r="X102" s="21" t="str">
        <f ca="1">IFERROR(__xludf.DUMMYFUNCTION("""COMPUTED_VALUE"""),"১৯১৭১৮৬৬৮৫")</f>
        <v>১৯১৭১৮৬৬৮৫</v>
      </c>
      <c r="Y102" s="21"/>
      <c r="Z102" s="21"/>
      <c r="AA102" s="21"/>
      <c r="AB102" s="21"/>
      <c r="AC102" s="21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15" customHeight="1" x14ac:dyDescent="0.15">
      <c r="A103" s="25"/>
      <c r="B103" s="25"/>
      <c r="C103" s="25" t="str">
        <f ca="1">IFERROR(__xludf.DUMMYFUNCTION("""COMPUTED_VALUE"""),"রংপুর")</f>
        <v>রংপুর</v>
      </c>
      <c r="D103" s="25" t="str">
        <f ca="1">IFERROR(__xludf.DUMMYFUNCTION("""COMPUTED_VALUE"""),"রংপুর")</f>
        <v>রংপুর</v>
      </c>
      <c r="E103" s="25" t="str">
        <f ca="1">IFERROR(__xludf.DUMMYFUNCTION("""COMPUTED_VALUE"""),"কুড়িগ্রাম")</f>
        <v>কুড়িগ্রাম</v>
      </c>
      <c r="F103" s="25" t="str">
        <f ca="1">IFERROR(__xludf.DUMMYFUNCTION("""COMPUTED_VALUE"""),"চর রাজিবপুর")</f>
        <v>চর রাজিবপুর</v>
      </c>
      <c r="G103" s="25"/>
      <c r="H103" s="25"/>
      <c r="I103" s="25"/>
      <c r="J103" s="25" t="str">
        <f ca="1">IFERROR(__xludf.DUMMYFUNCTION("""COMPUTED_VALUE"""),"প্রণোদনা")</f>
        <v>প্রণোদনা</v>
      </c>
      <c r="K103" s="25"/>
      <c r="L103" s="25">
        <f ca="1">IFERROR(__xludf.DUMMYFUNCTION("""COMPUTED_VALUE"""),25.43564)</f>
        <v>25.435639999999999</v>
      </c>
      <c r="M103" s="25">
        <f ca="1">IFERROR(__xludf.DUMMYFUNCTION("""COMPUTED_VALUE"""),89.7833)</f>
        <v>89.783299999999997</v>
      </c>
      <c r="N103" s="25"/>
      <c r="O10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3" s="25" t="str">
        <f ca="1">IFERROR(__xludf.DUMMYFUNCTION("""COMPUTED_VALUE"""),"ফলদ, বনজ")</f>
        <v>ফলদ, বনজ</v>
      </c>
      <c r="Q103" s="25">
        <f ca="1">IFERROR(__xludf.DUMMYFUNCTION("""COMPUTED_VALUE"""),5)</f>
        <v>5</v>
      </c>
      <c r="R103" s="25"/>
      <c r="S103" s="25"/>
      <c r="T103" s="25"/>
      <c r="U103" s="25" t="str">
        <f ca="1">IFERROR(__xludf.DUMMYFUNCTION("""COMPUTED_VALUE"""),"মোঃ হেকমত আলী")</f>
        <v>মোঃ হেকমত আলী</v>
      </c>
      <c r="V103" s="25" t="str">
        <f ca="1">IFERROR(__xludf.DUMMYFUNCTION("""COMPUTED_VALUE"""),"০১৭১৯৫০৮২১১")</f>
        <v>০১৭১৯৫০৮২১১</v>
      </c>
      <c r="W103" s="25" t="str">
        <f ca="1">IFERROR(__xludf.DUMMYFUNCTION("""COMPUTED_VALUE"""),"মোঃ নজরুল ইসলাম")</f>
        <v>মোঃ নজরুল ইসলাম</v>
      </c>
      <c r="X103" s="25" t="str">
        <f ca="1">IFERROR(__xludf.DUMMYFUNCTION("""COMPUTED_VALUE"""),"১৯১৭১৮৬৬৮৫")</f>
        <v>১৯১৭১৮৬৬৮৫</v>
      </c>
      <c r="Y103" s="25"/>
      <c r="Z103" s="25"/>
      <c r="AA103" s="25"/>
      <c r="AB103" s="25"/>
      <c r="AC103" s="25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spans="1:40" ht="15" customHeight="1" x14ac:dyDescent="0.15">
      <c r="A104" s="21"/>
      <c r="B104" s="21"/>
      <c r="C104" s="21" t="str">
        <f ca="1">IFERROR(__xludf.DUMMYFUNCTION("""COMPUTED_VALUE"""),"রংপুর")</f>
        <v>রংপুর</v>
      </c>
      <c r="D104" s="21" t="str">
        <f ca="1">IFERROR(__xludf.DUMMYFUNCTION("""COMPUTED_VALUE"""),"রংপুর")</f>
        <v>রংপুর</v>
      </c>
      <c r="E104" s="21" t="str">
        <f ca="1">IFERROR(__xludf.DUMMYFUNCTION("""COMPUTED_VALUE"""),"কুড়িগ্রাম")</f>
        <v>কুড়িগ্রাম</v>
      </c>
      <c r="F104" s="21" t="str">
        <f ca="1">IFERROR(__xludf.DUMMYFUNCTION("""COMPUTED_VALUE"""),"চর রাজিবপুর")</f>
        <v>চর রাজিবপুর</v>
      </c>
      <c r="G104" s="21"/>
      <c r="H104" s="21"/>
      <c r="I104" s="21"/>
      <c r="J104" s="21" t="str">
        <f ca="1">IFERROR(__xludf.DUMMYFUNCTION("""COMPUTED_VALUE"""),"প্রণোদনা")</f>
        <v>প্রণোদনা</v>
      </c>
      <c r="K104" s="21"/>
      <c r="L104" s="21">
        <f ca="1">IFERROR(__xludf.DUMMYFUNCTION("""COMPUTED_VALUE"""),25.44216)</f>
        <v>25.442160000000001</v>
      </c>
      <c r="M104" s="21">
        <f ca="1">IFERROR(__xludf.DUMMYFUNCTION("""COMPUTED_VALUE"""),89.78666)</f>
        <v>89.786659999999998</v>
      </c>
      <c r="N104" s="21"/>
      <c r="O10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4" s="21" t="str">
        <f ca="1">IFERROR(__xludf.DUMMYFUNCTION("""COMPUTED_VALUE"""),"ফলদ, বনজ")</f>
        <v>ফলদ, বনজ</v>
      </c>
      <c r="Q104" s="21">
        <f ca="1">IFERROR(__xludf.DUMMYFUNCTION("""COMPUTED_VALUE"""),5)</f>
        <v>5</v>
      </c>
      <c r="R104" s="21"/>
      <c r="S104" s="21"/>
      <c r="T104" s="21"/>
      <c r="U104" s="21" t="str">
        <f ca="1">IFERROR(__xludf.DUMMYFUNCTION("""COMPUTED_VALUE"""),"মোছাঃ সাবানা আক্তার")</f>
        <v>মোছাঃ সাবানা আক্তার</v>
      </c>
      <c r="V104" s="21" t="str">
        <f ca="1">IFERROR(__xludf.DUMMYFUNCTION("""COMPUTED_VALUE"""),"০১৯৩০৮৩৩৩২৭")</f>
        <v>০১৯৩০৮৩৩৩২৭</v>
      </c>
      <c r="W104" s="21" t="str">
        <f ca="1">IFERROR(__xludf.DUMMYFUNCTION("""COMPUTED_VALUE"""),"মোঃ নজরুল ইসলাম")</f>
        <v>মোঃ নজরুল ইসলাম</v>
      </c>
      <c r="X104" s="21" t="str">
        <f ca="1">IFERROR(__xludf.DUMMYFUNCTION("""COMPUTED_VALUE"""),"১৯১৭১৮৬৬৮৫")</f>
        <v>১৯১৭১৮৬৬৮৫</v>
      </c>
      <c r="Y104" s="21"/>
      <c r="Z104" s="21"/>
      <c r="AA104" s="21"/>
      <c r="AB104" s="21"/>
      <c r="AC104" s="21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15" customHeight="1" x14ac:dyDescent="0.15">
      <c r="A105" s="25"/>
      <c r="B105" s="25"/>
      <c r="C105" s="25" t="str">
        <f ca="1">IFERROR(__xludf.DUMMYFUNCTION("""COMPUTED_VALUE"""),"রংপুর")</f>
        <v>রংপুর</v>
      </c>
      <c r="D105" s="25" t="str">
        <f ca="1">IFERROR(__xludf.DUMMYFUNCTION("""COMPUTED_VALUE"""),"রংপুর")</f>
        <v>রংপুর</v>
      </c>
      <c r="E105" s="25" t="str">
        <f ca="1">IFERROR(__xludf.DUMMYFUNCTION("""COMPUTED_VALUE"""),"কুড়িগ্রাম")</f>
        <v>কুড়িগ্রাম</v>
      </c>
      <c r="F105" s="25" t="str">
        <f ca="1">IFERROR(__xludf.DUMMYFUNCTION("""COMPUTED_VALUE"""),"চর রাজিবপুর")</f>
        <v>চর রাজিবপুর</v>
      </c>
      <c r="G105" s="25"/>
      <c r="H105" s="25"/>
      <c r="I105" s="25"/>
      <c r="J105" s="25" t="str">
        <f ca="1">IFERROR(__xludf.DUMMYFUNCTION("""COMPUTED_VALUE"""),"প্রণোদনা")</f>
        <v>প্রণোদনা</v>
      </c>
      <c r="K105" s="25"/>
      <c r="L105" s="25">
        <f ca="1">IFERROR(__xludf.DUMMYFUNCTION("""COMPUTED_VALUE"""),25.44969)</f>
        <v>25.44969</v>
      </c>
      <c r="M105" s="25">
        <f ca="1">IFERROR(__xludf.DUMMYFUNCTION("""COMPUTED_VALUE"""),89.79031)</f>
        <v>89.790310000000005</v>
      </c>
      <c r="N105" s="25"/>
      <c r="O10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5" s="25" t="str">
        <f ca="1">IFERROR(__xludf.DUMMYFUNCTION("""COMPUTED_VALUE"""),"ফলদ, বনজ")</f>
        <v>ফলদ, বনজ</v>
      </c>
      <c r="Q105" s="25">
        <f ca="1">IFERROR(__xludf.DUMMYFUNCTION("""COMPUTED_VALUE"""),5)</f>
        <v>5</v>
      </c>
      <c r="R105" s="25"/>
      <c r="S105" s="25"/>
      <c r="T105" s="25"/>
      <c r="U105" s="25" t="str">
        <f ca="1">IFERROR(__xludf.DUMMYFUNCTION("""COMPUTED_VALUE"""),"মোছাঃ আছিয়া খাতুন")</f>
        <v>মোছাঃ আছিয়া খাতুন</v>
      </c>
      <c r="V105" s="25" t="str">
        <f ca="1">IFERROR(__xludf.DUMMYFUNCTION("""COMPUTED_VALUE"""),"০১৯৪৭২২৬৭৩০")</f>
        <v>০১৯৪৭২২৬৭৩০</v>
      </c>
      <c r="W105" s="25" t="str">
        <f ca="1">IFERROR(__xludf.DUMMYFUNCTION("""COMPUTED_VALUE"""),"মোঃ নজরুল ইসলাম")</f>
        <v>মোঃ নজরুল ইসলাম</v>
      </c>
      <c r="X105" s="25" t="str">
        <f ca="1">IFERROR(__xludf.DUMMYFUNCTION("""COMPUTED_VALUE"""),"১৯১৭১৮৬৬৮৫")</f>
        <v>১৯১৭১৮৬৬৮৫</v>
      </c>
      <c r="Y105" s="25"/>
      <c r="Z105" s="25"/>
      <c r="AA105" s="25"/>
      <c r="AB105" s="25"/>
      <c r="AC105" s="25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spans="1:40" ht="15" customHeight="1" x14ac:dyDescent="0.15">
      <c r="A106" s="21"/>
      <c r="B106" s="21"/>
      <c r="C106" s="21" t="str">
        <f ca="1">IFERROR(__xludf.DUMMYFUNCTION("""COMPUTED_VALUE"""),"রংপুর")</f>
        <v>রংপুর</v>
      </c>
      <c r="D106" s="21" t="str">
        <f ca="1">IFERROR(__xludf.DUMMYFUNCTION("""COMPUTED_VALUE"""),"রংপুর")</f>
        <v>রংপুর</v>
      </c>
      <c r="E106" s="21" t="str">
        <f ca="1">IFERROR(__xludf.DUMMYFUNCTION("""COMPUTED_VALUE"""),"কুড়িগ্রাম")</f>
        <v>কুড়িগ্রাম</v>
      </c>
      <c r="F106" s="21" t="str">
        <f ca="1">IFERROR(__xludf.DUMMYFUNCTION("""COMPUTED_VALUE"""),"চর রাজিবপুর")</f>
        <v>চর রাজিবপুর</v>
      </c>
      <c r="G106" s="21"/>
      <c r="H106" s="21"/>
      <c r="I106" s="21"/>
      <c r="J106" s="21" t="str">
        <f ca="1">IFERROR(__xludf.DUMMYFUNCTION("""COMPUTED_VALUE"""),"প্রণোদনা")</f>
        <v>প্রণোদনা</v>
      </c>
      <c r="K106" s="21"/>
      <c r="L106" s="21">
        <f ca="1">IFERROR(__xludf.DUMMYFUNCTION("""COMPUTED_VALUE"""),25.46134)</f>
        <v>25.46134</v>
      </c>
      <c r="M106" s="21">
        <f ca="1">IFERROR(__xludf.DUMMYFUNCTION("""COMPUTED_VALUE"""),89.79856)</f>
        <v>89.798559999999995</v>
      </c>
      <c r="N106" s="21"/>
      <c r="O10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6" s="21" t="str">
        <f ca="1">IFERROR(__xludf.DUMMYFUNCTION("""COMPUTED_VALUE"""),"ফলদ, বনজ")</f>
        <v>ফলদ, বনজ</v>
      </c>
      <c r="Q106" s="21">
        <f ca="1">IFERROR(__xludf.DUMMYFUNCTION("""COMPUTED_VALUE"""),5)</f>
        <v>5</v>
      </c>
      <c r="R106" s="21"/>
      <c r="S106" s="21"/>
      <c r="T106" s="21"/>
      <c r="U106" s="21" t="str">
        <f ca="1">IFERROR(__xludf.DUMMYFUNCTION("""COMPUTED_VALUE"""),"মোছাঃ শ্যামলী আকতার")</f>
        <v>মোছাঃ শ্যামলী আকতার</v>
      </c>
      <c r="V106" s="21" t="str">
        <f ca="1">IFERROR(__xludf.DUMMYFUNCTION("""COMPUTED_VALUE"""),"০১৪০৮০০০৮৬২")</f>
        <v>০১৪০৮০০০৮৬২</v>
      </c>
      <c r="W106" s="21" t="str">
        <f ca="1">IFERROR(__xludf.DUMMYFUNCTION("""COMPUTED_VALUE"""),"মোঃ নজরুল ইসলাম")</f>
        <v>মোঃ নজরুল ইসলাম</v>
      </c>
      <c r="X106" s="21" t="str">
        <f ca="1">IFERROR(__xludf.DUMMYFUNCTION("""COMPUTED_VALUE"""),"১৯১৭১৮৬৬৮৫")</f>
        <v>১৯১৭১৮৬৬৮৫</v>
      </c>
      <c r="Y106" s="21"/>
      <c r="Z106" s="21"/>
      <c r="AA106" s="21"/>
      <c r="AB106" s="21"/>
      <c r="AC106" s="21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15" customHeight="1" x14ac:dyDescent="0.15">
      <c r="A107" s="25"/>
      <c r="B107" s="25"/>
      <c r="C107" s="25" t="str">
        <f ca="1">IFERROR(__xludf.DUMMYFUNCTION("""COMPUTED_VALUE"""),"রংপুর")</f>
        <v>রংপুর</v>
      </c>
      <c r="D107" s="25" t="str">
        <f ca="1">IFERROR(__xludf.DUMMYFUNCTION("""COMPUTED_VALUE"""),"রংপুর")</f>
        <v>রংপুর</v>
      </c>
      <c r="E107" s="25" t="str">
        <f ca="1">IFERROR(__xludf.DUMMYFUNCTION("""COMPUTED_VALUE"""),"কুড়িগ্রাম")</f>
        <v>কুড়িগ্রাম</v>
      </c>
      <c r="F107" s="25" t="str">
        <f ca="1">IFERROR(__xludf.DUMMYFUNCTION("""COMPUTED_VALUE"""),"চর রাজিবপুর")</f>
        <v>চর রাজিবপুর</v>
      </c>
      <c r="G107" s="25"/>
      <c r="H107" s="25"/>
      <c r="I107" s="25"/>
      <c r="J107" s="25" t="str">
        <f ca="1">IFERROR(__xludf.DUMMYFUNCTION("""COMPUTED_VALUE"""),"প্রণোদনা")</f>
        <v>প্রণোদনা</v>
      </c>
      <c r="K107" s="25"/>
      <c r="L107" s="25">
        <f ca="1">IFERROR(__xludf.DUMMYFUNCTION("""COMPUTED_VALUE"""),25.45972)</f>
        <v>25.459720000000001</v>
      </c>
      <c r="M107" s="25">
        <f ca="1">IFERROR(__xludf.DUMMYFUNCTION("""COMPUTED_VALUE"""),89.79661)</f>
        <v>89.796610000000001</v>
      </c>
      <c r="N107" s="25"/>
      <c r="O10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7" s="25" t="str">
        <f ca="1">IFERROR(__xludf.DUMMYFUNCTION("""COMPUTED_VALUE"""),"ফলদ, বনজ")</f>
        <v>ফলদ, বনজ</v>
      </c>
      <c r="Q107" s="25">
        <f ca="1">IFERROR(__xludf.DUMMYFUNCTION("""COMPUTED_VALUE"""),5)</f>
        <v>5</v>
      </c>
      <c r="R107" s="25"/>
      <c r="S107" s="25"/>
      <c r="T107" s="25"/>
      <c r="U107" s="25" t="str">
        <f ca="1">IFERROR(__xludf.DUMMYFUNCTION("""COMPUTED_VALUE"""),"মোঃ আকবর হোসেন")</f>
        <v>মোঃ আকবর হোসেন</v>
      </c>
      <c r="V107" s="25" t="str">
        <f ca="1">IFERROR(__xludf.DUMMYFUNCTION("""COMPUTED_VALUE"""),"০১৮৯১৭২৩৪৭১")</f>
        <v>০১৮৯১৭২৩৪৭১</v>
      </c>
      <c r="W107" s="25" t="str">
        <f ca="1">IFERROR(__xludf.DUMMYFUNCTION("""COMPUTED_VALUE"""),"মোঃ নজরুল ইসলাম")</f>
        <v>মোঃ নজরুল ইসলাম</v>
      </c>
      <c r="X107" s="25" t="str">
        <f ca="1">IFERROR(__xludf.DUMMYFUNCTION("""COMPUTED_VALUE"""),"১৯১৭১৮৬৬৮৫")</f>
        <v>১৯১৭১৮৬৬৮৫</v>
      </c>
      <c r="Y107" s="25"/>
      <c r="Z107" s="25"/>
      <c r="AA107" s="25"/>
      <c r="AB107" s="25"/>
      <c r="AC107" s="25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spans="1:40" ht="15" customHeight="1" x14ac:dyDescent="0.15">
      <c r="A108" s="21"/>
      <c r="B108" s="21"/>
      <c r="C108" s="21" t="str">
        <f ca="1">IFERROR(__xludf.DUMMYFUNCTION("""COMPUTED_VALUE"""),"রংপুর")</f>
        <v>রংপুর</v>
      </c>
      <c r="D108" s="21" t="str">
        <f ca="1">IFERROR(__xludf.DUMMYFUNCTION("""COMPUTED_VALUE"""),"রংপুর")</f>
        <v>রংপুর</v>
      </c>
      <c r="E108" s="21" t="str">
        <f ca="1">IFERROR(__xludf.DUMMYFUNCTION("""COMPUTED_VALUE"""),"কুড়িগ্রাম")</f>
        <v>কুড়িগ্রাম</v>
      </c>
      <c r="F108" s="21" t="str">
        <f ca="1">IFERROR(__xludf.DUMMYFUNCTION("""COMPUTED_VALUE"""),"চর রাজিবপুর")</f>
        <v>চর রাজিবপুর</v>
      </c>
      <c r="G108" s="21"/>
      <c r="H108" s="21"/>
      <c r="I108" s="21"/>
      <c r="J108" s="21" t="str">
        <f ca="1">IFERROR(__xludf.DUMMYFUNCTION("""COMPUTED_VALUE"""),"প্রণোদনা")</f>
        <v>প্রণোদনা</v>
      </c>
      <c r="K108" s="21"/>
      <c r="L108" s="21">
        <f ca="1">IFERROR(__xludf.DUMMYFUNCTION("""COMPUTED_VALUE"""),25.45675)</f>
        <v>25.45675</v>
      </c>
      <c r="M108" s="21">
        <f ca="1">IFERROR(__xludf.DUMMYFUNCTION("""COMPUTED_VALUE"""),89.79392)</f>
        <v>89.79392</v>
      </c>
      <c r="N108" s="21"/>
      <c r="O10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8" s="21" t="str">
        <f ca="1">IFERROR(__xludf.DUMMYFUNCTION("""COMPUTED_VALUE"""),"ফলদ, বনজ")</f>
        <v>ফলদ, বনজ</v>
      </c>
      <c r="Q108" s="21">
        <f ca="1">IFERROR(__xludf.DUMMYFUNCTION("""COMPUTED_VALUE"""),5)</f>
        <v>5</v>
      </c>
      <c r="R108" s="21"/>
      <c r="S108" s="21"/>
      <c r="T108" s="21"/>
      <c r="U108" s="21" t="str">
        <f ca="1">IFERROR(__xludf.DUMMYFUNCTION("""COMPUTED_VALUE"""),"মোঃ আঃ আলিম")</f>
        <v>মোঃ আঃ আলিম</v>
      </c>
      <c r="V108" s="21" t="str">
        <f ca="1">IFERROR(__xludf.DUMMYFUNCTION("""COMPUTED_VALUE"""),"০১৯১২২৬৯৪২০")</f>
        <v>০১৯১২২৬৯৪২০</v>
      </c>
      <c r="W108" s="21" t="str">
        <f ca="1">IFERROR(__xludf.DUMMYFUNCTION("""COMPUTED_VALUE"""),"মোঃ নজরুল ইসলাম")</f>
        <v>মোঃ নজরুল ইসলাম</v>
      </c>
      <c r="X108" s="21" t="str">
        <f ca="1">IFERROR(__xludf.DUMMYFUNCTION("""COMPUTED_VALUE"""),"১৯১৭১৮৬৬৮৫")</f>
        <v>১৯১৭১৮৬৬৮৫</v>
      </c>
      <c r="Y108" s="21"/>
      <c r="Z108" s="21"/>
      <c r="AA108" s="21"/>
      <c r="AB108" s="21"/>
      <c r="AC108" s="21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15" customHeight="1" x14ac:dyDescent="0.15">
      <c r="A109" s="25"/>
      <c r="B109" s="25"/>
      <c r="C109" s="25" t="str">
        <f ca="1">IFERROR(__xludf.DUMMYFUNCTION("""COMPUTED_VALUE"""),"রংপুর")</f>
        <v>রংপুর</v>
      </c>
      <c r="D109" s="25" t="str">
        <f ca="1">IFERROR(__xludf.DUMMYFUNCTION("""COMPUTED_VALUE"""),"রংপুর")</f>
        <v>রংপুর</v>
      </c>
      <c r="E109" s="25" t="str">
        <f ca="1">IFERROR(__xludf.DUMMYFUNCTION("""COMPUTED_VALUE"""),"কুড়িগ্রাম")</f>
        <v>কুড়িগ্রাম</v>
      </c>
      <c r="F109" s="25" t="str">
        <f ca="1">IFERROR(__xludf.DUMMYFUNCTION("""COMPUTED_VALUE"""),"চর রাজিবপুর")</f>
        <v>চর রাজিবপুর</v>
      </c>
      <c r="G109" s="25"/>
      <c r="H109" s="25"/>
      <c r="I109" s="25"/>
      <c r="J109" s="25" t="str">
        <f ca="1">IFERROR(__xludf.DUMMYFUNCTION("""COMPUTED_VALUE"""),"প্রণোদনা")</f>
        <v>প্রণোদনা</v>
      </c>
      <c r="K109" s="25"/>
      <c r="L109" s="25">
        <f ca="1">IFERROR(__xludf.DUMMYFUNCTION("""COMPUTED_VALUE"""),25.45845)</f>
        <v>25.458449999999999</v>
      </c>
      <c r="M109" s="25">
        <f ca="1">IFERROR(__xludf.DUMMYFUNCTION("""COMPUTED_VALUE"""),89.79543)</f>
        <v>89.795429999999996</v>
      </c>
      <c r="N109" s="25"/>
      <c r="O10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9" s="25" t="str">
        <f ca="1">IFERROR(__xludf.DUMMYFUNCTION("""COMPUTED_VALUE"""),"ফলদ, বনজ")</f>
        <v>ফলদ, বনজ</v>
      </c>
      <c r="Q109" s="25">
        <f ca="1">IFERROR(__xludf.DUMMYFUNCTION("""COMPUTED_VALUE"""),5)</f>
        <v>5</v>
      </c>
      <c r="R109" s="25"/>
      <c r="S109" s="25"/>
      <c r="T109" s="25"/>
      <c r="U109" s="25" t="str">
        <f ca="1">IFERROR(__xludf.DUMMYFUNCTION("""COMPUTED_VALUE"""),"মোছাঃ জমিলা খাতুন")</f>
        <v>মোছাঃ জমিলা খাতুন</v>
      </c>
      <c r="V109" s="25" t="str">
        <f ca="1">IFERROR(__xludf.DUMMYFUNCTION("""COMPUTED_VALUE"""),"০১৮৪৫১৯৯৩০২")</f>
        <v>০১৮৪৫১৯৯৩০২</v>
      </c>
      <c r="W109" s="25" t="str">
        <f ca="1">IFERROR(__xludf.DUMMYFUNCTION("""COMPUTED_VALUE"""),"মোঃ নজরুল ইসলাম")</f>
        <v>মোঃ নজরুল ইসলাম</v>
      </c>
      <c r="X109" s="25" t="str">
        <f ca="1">IFERROR(__xludf.DUMMYFUNCTION("""COMPUTED_VALUE"""),"১৯১৭১৮৬৬৮৫")</f>
        <v>১৯১৭১৮৬৬৮৫</v>
      </c>
      <c r="Y109" s="25"/>
      <c r="Z109" s="25"/>
      <c r="AA109" s="25"/>
      <c r="AB109" s="25"/>
      <c r="AC109" s="25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spans="1:40" ht="15" customHeight="1" x14ac:dyDescent="0.15">
      <c r="A110" s="21"/>
      <c r="B110" s="21"/>
      <c r="C110" s="21" t="str">
        <f ca="1">IFERROR(__xludf.DUMMYFUNCTION("""COMPUTED_VALUE"""),"রংপুর")</f>
        <v>রংপুর</v>
      </c>
      <c r="D110" s="21" t="str">
        <f ca="1">IFERROR(__xludf.DUMMYFUNCTION("""COMPUTED_VALUE"""),"রংপুর")</f>
        <v>রংপুর</v>
      </c>
      <c r="E110" s="21" t="str">
        <f ca="1">IFERROR(__xludf.DUMMYFUNCTION("""COMPUTED_VALUE"""),"কুড়িগ্রাম")</f>
        <v>কুড়িগ্রাম</v>
      </c>
      <c r="F110" s="21" t="str">
        <f ca="1">IFERROR(__xludf.DUMMYFUNCTION("""COMPUTED_VALUE"""),"চর রাজিবপুর")</f>
        <v>চর রাজিবপুর</v>
      </c>
      <c r="G110" s="21"/>
      <c r="H110" s="21"/>
      <c r="I110" s="21"/>
      <c r="J110" s="21" t="str">
        <f ca="1">IFERROR(__xludf.DUMMYFUNCTION("""COMPUTED_VALUE"""),"প্রণোদনা")</f>
        <v>প্রণোদনা</v>
      </c>
      <c r="K110" s="21"/>
      <c r="L110" s="21">
        <f ca="1">IFERROR(__xludf.DUMMYFUNCTION("""COMPUTED_VALUE"""),25.45699)</f>
        <v>25.456990000000001</v>
      </c>
      <c r="M110" s="21">
        <f ca="1">IFERROR(__xludf.DUMMYFUNCTION("""COMPUTED_VALUE"""),89.79346)</f>
        <v>89.793459999999996</v>
      </c>
      <c r="N110" s="21"/>
      <c r="O11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0" s="21" t="str">
        <f ca="1">IFERROR(__xludf.DUMMYFUNCTION("""COMPUTED_VALUE"""),"ফলদ, বনজ")</f>
        <v>ফলদ, বনজ</v>
      </c>
      <c r="Q110" s="21">
        <f ca="1">IFERROR(__xludf.DUMMYFUNCTION("""COMPUTED_VALUE"""),5)</f>
        <v>5</v>
      </c>
      <c r="R110" s="21"/>
      <c r="S110" s="21"/>
      <c r="T110" s="21"/>
      <c r="U110" s="21" t="str">
        <f ca="1">IFERROR(__xludf.DUMMYFUNCTION("""COMPUTED_VALUE"""),"মোছাঃ ছালেহা খাতুন")</f>
        <v>মোছাঃ ছালেহা খাতুন</v>
      </c>
      <c r="V110" s="21" t="str">
        <f ca="1">IFERROR(__xludf.DUMMYFUNCTION("""COMPUTED_VALUE"""),"০১৯১২২৬৯৪২০")</f>
        <v>০১৯১২২৬৯৪২০</v>
      </c>
      <c r="W110" s="21" t="str">
        <f ca="1">IFERROR(__xludf.DUMMYFUNCTION("""COMPUTED_VALUE"""),"মোঃ নজরুল ইসলাম")</f>
        <v>মোঃ নজরুল ইসলাম</v>
      </c>
      <c r="X110" s="21" t="str">
        <f ca="1">IFERROR(__xludf.DUMMYFUNCTION("""COMPUTED_VALUE"""),"১৯১৭১৮৬৬৮৫")</f>
        <v>১৯১৭১৮৬৬৮৫</v>
      </c>
      <c r="Y110" s="21"/>
      <c r="Z110" s="21"/>
      <c r="AA110" s="21"/>
      <c r="AB110" s="21"/>
      <c r="AC110" s="21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15" customHeight="1" x14ac:dyDescent="0.15">
      <c r="A111" s="25"/>
      <c r="B111" s="25"/>
      <c r="C111" s="25" t="str">
        <f ca="1">IFERROR(__xludf.DUMMYFUNCTION("""COMPUTED_VALUE"""),"রংপুর")</f>
        <v>রংপুর</v>
      </c>
      <c r="D111" s="25" t="str">
        <f ca="1">IFERROR(__xludf.DUMMYFUNCTION("""COMPUTED_VALUE"""),"রংপুর")</f>
        <v>রংপুর</v>
      </c>
      <c r="E111" s="25" t="str">
        <f ca="1">IFERROR(__xludf.DUMMYFUNCTION("""COMPUTED_VALUE"""),"কুড়িগ্রাম")</f>
        <v>কুড়িগ্রাম</v>
      </c>
      <c r="F111" s="25" t="str">
        <f ca="1">IFERROR(__xludf.DUMMYFUNCTION("""COMPUTED_VALUE"""),"চর রাজিবপুর")</f>
        <v>চর রাজিবপুর</v>
      </c>
      <c r="G111" s="25"/>
      <c r="H111" s="25"/>
      <c r="I111" s="25"/>
      <c r="J111" s="25" t="str">
        <f ca="1">IFERROR(__xludf.DUMMYFUNCTION("""COMPUTED_VALUE"""),"প্রণোদনা")</f>
        <v>প্রণোদনা</v>
      </c>
      <c r="K111" s="25"/>
      <c r="L111" s="25">
        <f ca="1">IFERROR(__xludf.DUMMYFUNCTION("""COMPUTED_VALUE"""),25.45466)</f>
        <v>25.454660000000001</v>
      </c>
      <c r="M111" s="25">
        <f ca="1">IFERROR(__xludf.DUMMYFUNCTION("""COMPUTED_VALUE"""),89.79129)</f>
        <v>89.791290000000004</v>
      </c>
      <c r="N111" s="25"/>
      <c r="O11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1" s="25" t="str">
        <f ca="1">IFERROR(__xludf.DUMMYFUNCTION("""COMPUTED_VALUE"""),"ফলদ, বনজ")</f>
        <v>ফলদ, বনজ</v>
      </c>
      <c r="Q111" s="25">
        <f ca="1">IFERROR(__xludf.DUMMYFUNCTION("""COMPUTED_VALUE"""),5)</f>
        <v>5</v>
      </c>
      <c r="R111" s="25"/>
      <c r="S111" s="25"/>
      <c r="T111" s="25"/>
      <c r="U111" s="25" t="str">
        <f ca="1">IFERROR(__xludf.DUMMYFUNCTION("""COMPUTED_VALUE"""),"মোঃ রমজান আলী")</f>
        <v>মোঃ রমজান আলী</v>
      </c>
      <c r="V111" s="25" t="str">
        <f ca="1">IFERROR(__xludf.DUMMYFUNCTION("""COMPUTED_VALUE"""),"০১৮২২৪০৭৮৩৩")</f>
        <v>০১৮২২৪০৭৮৩৩</v>
      </c>
      <c r="W111" s="25" t="str">
        <f ca="1">IFERROR(__xludf.DUMMYFUNCTION("""COMPUTED_VALUE"""),"মোঃ নজরুল ইসলাম")</f>
        <v>মোঃ নজরুল ইসলাম</v>
      </c>
      <c r="X111" s="25" t="str">
        <f ca="1">IFERROR(__xludf.DUMMYFUNCTION("""COMPUTED_VALUE"""),"১৯১৭১৮৬৬৮৫")</f>
        <v>১৯১৭১৮৬৬৮৫</v>
      </c>
      <c r="Y111" s="25"/>
      <c r="Z111" s="25"/>
      <c r="AA111" s="25"/>
      <c r="AB111" s="25"/>
      <c r="AC111" s="25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spans="1:40" ht="15" customHeight="1" x14ac:dyDescent="0.15">
      <c r="A112" s="21"/>
      <c r="B112" s="21"/>
      <c r="C112" s="21" t="str">
        <f ca="1">IFERROR(__xludf.DUMMYFUNCTION("""COMPUTED_VALUE"""),"রংপুর")</f>
        <v>রংপুর</v>
      </c>
      <c r="D112" s="21" t="str">
        <f ca="1">IFERROR(__xludf.DUMMYFUNCTION("""COMPUTED_VALUE"""),"রংপুর")</f>
        <v>রংপুর</v>
      </c>
      <c r="E112" s="21" t="str">
        <f ca="1">IFERROR(__xludf.DUMMYFUNCTION("""COMPUTED_VALUE"""),"কুড়িগ্রাম")</f>
        <v>কুড়িগ্রাম</v>
      </c>
      <c r="F112" s="21" t="str">
        <f ca="1">IFERROR(__xludf.DUMMYFUNCTION("""COMPUTED_VALUE"""),"চর রাজিবপুর")</f>
        <v>চর রাজিবপুর</v>
      </c>
      <c r="G112" s="21"/>
      <c r="H112" s="21"/>
      <c r="I112" s="21"/>
      <c r="J112" s="21" t="str">
        <f ca="1">IFERROR(__xludf.DUMMYFUNCTION("""COMPUTED_VALUE"""),"প্রণোদনা")</f>
        <v>প্রণোদনা</v>
      </c>
      <c r="K112" s="21"/>
      <c r="L112" s="21">
        <f ca="1">IFERROR(__xludf.DUMMYFUNCTION("""COMPUTED_VALUE"""),25.45667)</f>
        <v>25.456669999999999</v>
      </c>
      <c r="M112" s="21">
        <f ca="1">IFERROR(__xludf.DUMMYFUNCTION("""COMPUTED_VALUE"""),89.7662)</f>
        <v>89.766199999999998</v>
      </c>
      <c r="N112" s="21"/>
      <c r="O11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2" s="21" t="str">
        <f ca="1">IFERROR(__xludf.DUMMYFUNCTION("""COMPUTED_VALUE"""),"ফলদ, বনজ")</f>
        <v>ফলদ, বনজ</v>
      </c>
      <c r="Q112" s="21">
        <f ca="1">IFERROR(__xludf.DUMMYFUNCTION("""COMPUTED_VALUE"""),5)</f>
        <v>5</v>
      </c>
      <c r="R112" s="21"/>
      <c r="S112" s="21"/>
      <c r="T112" s="21"/>
      <c r="U112" s="21" t="str">
        <f ca="1">IFERROR(__xludf.DUMMYFUNCTION("""COMPUTED_VALUE"""),"মোঃ আঃ সামাদ")</f>
        <v>মোঃ আঃ সামাদ</v>
      </c>
      <c r="V112" s="21" t="str">
        <f ca="1">IFERROR(__xludf.DUMMYFUNCTION("""COMPUTED_VALUE"""),"০১৯৮৯৬২৩৬১৯")</f>
        <v>০১৯৮৯৬২৩৬১৯</v>
      </c>
      <c r="W112" s="21" t="str">
        <f ca="1">IFERROR(__xludf.DUMMYFUNCTION("""COMPUTED_VALUE"""),"মোঃ নজরুল ইসলাম")</f>
        <v>মোঃ নজরুল ইসলাম</v>
      </c>
      <c r="X112" s="21" t="str">
        <f ca="1">IFERROR(__xludf.DUMMYFUNCTION("""COMPUTED_VALUE"""),"১৯১৭১৮৬৬৮৫")</f>
        <v>১৯১৭১৮৬৬৮৫</v>
      </c>
      <c r="Y112" s="21"/>
      <c r="Z112" s="21"/>
      <c r="AA112" s="21"/>
      <c r="AB112" s="21"/>
      <c r="AC112" s="21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15" customHeight="1" x14ac:dyDescent="0.15">
      <c r="A113" s="25"/>
      <c r="B113" s="25"/>
      <c r="C113" s="25" t="str">
        <f ca="1">IFERROR(__xludf.DUMMYFUNCTION("""COMPUTED_VALUE"""),"রংপুর")</f>
        <v>রংপুর</v>
      </c>
      <c r="D113" s="25" t="str">
        <f ca="1">IFERROR(__xludf.DUMMYFUNCTION("""COMPUTED_VALUE"""),"রংপুর")</f>
        <v>রংপুর</v>
      </c>
      <c r="E113" s="25" t="str">
        <f ca="1">IFERROR(__xludf.DUMMYFUNCTION("""COMPUTED_VALUE"""),"কুড়িগ্রাম")</f>
        <v>কুড়িগ্রাম</v>
      </c>
      <c r="F113" s="25" t="str">
        <f ca="1">IFERROR(__xludf.DUMMYFUNCTION("""COMPUTED_VALUE"""),"চর রাজিবপুর")</f>
        <v>চর রাজিবপুর</v>
      </c>
      <c r="G113" s="25"/>
      <c r="H113" s="25"/>
      <c r="I113" s="25"/>
      <c r="J113" s="25" t="str">
        <f ca="1">IFERROR(__xludf.DUMMYFUNCTION("""COMPUTED_VALUE"""),"প্রণোদনা")</f>
        <v>প্রণোদনা</v>
      </c>
      <c r="K113" s="25"/>
      <c r="L113" s="25">
        <f ca="1">IFERROR(__xludf.DUMMYFUNCTION("""COMPUTED_VALUE"""),25.44236)</f>
        <v>25.442360000000001</v>
      </c>
      <c r="M113" s="25">
        <f ca="1">IFERROR(__xludf.DUMMYFUNCTION("""COMPUTED_VALUE"""),89.78676)</f>
        <v>89.786760000000001</v>
      </c>
      <c r="N113" s="25"/>
      <c r="O11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3" s="25" t="str">
        <f ca="1">IFERROR(__xludf.DUMMYFUNCTION("""COMPUTED_VALUE"""),"ফলদ, বনজ")</f>
        <v>ফলদ, বনজ</v>
      </c>
      <c r="Q113" s="25">
        <f ca="1">IFERROR(__xludf.DUMMYFUNCTION("""COMPUTED_VALUE"""),5)</f>
        <v>5</v>
      </c>
      <c r="R113" s="25"/>
      <c r="S113" s="25"/>
      <c r="T113" s="25"/>
      <c r="U113" s="25" t="str">
        <f ca="1">IFERROR(__xludf.DUMMYFUNCTION("""COMPUTED_VALUE"""),"মোঃ লুৎফর রহমান")</f>
        <v>মোঃ লুৎফর রহমান</v>
      </c>
      <c r="V113" s="25" t="str">
        <f ca="1">IFERROR(__xludf.DUMMYFUNCTION("""COMPUTED_VALUE"""),"০১৮৪৯৭০২১৫৪")</f>
        <v>০১৮৪৯৭০২১৫৪</v>
      </c>
      <c r="W113" s="25" t="str">
        <f ca="1">IFERROR(__xludf.DUMMYFUNCTION("""COMPUTED_VALUE"""),"মোঃ নজরুল ইসলাম")</f>
        <v>মোঃ নজরুল ইসলাম</v>
      </c>
      <c r="X113" s="25" t="str">
        <f ca="1">IFERROR(__xludf.DUMMYFUNCTION("""COMPUTED_VALUE"""),"১৯১৭১৮৬৬৮৫")</f>
        <v>১৯১৭১৮৬৬৮৫</v>
      </c>
      <c r="Y113" s="25"/>
      <c r="Z113" s="25"/>
      <c r="AA113" s="25"/>
      <c r="AB113" s="25"/>
      <c r="AC113" s="25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spans="1:40" ht="15" customHeight="1" x14ac:dyDescent="0.15">
      <c r="A114" s="21"/>
      <c r="B114" s="21"/>
      <c r="C114" s="21" t="str">
        <f ca="1">IFERROR(__xludf.DUMMYFUNCTION("""COMPUTED_VALUE"""),"রংপুর")</f>
        <v>রংপুর</v>
      </c>
      <c r="D114" s="21" t="str">
        <f ca="1">IFERROR(__xludf.DUMMYFUNCTION("""COMPUTED_VALUE"""),"রংপুর")</f>
        <v>রংপুর</v>
      </c>
      <c r="E114" s="21" t="str">
        <f ca="1">IFERROR(__xludf.DUMMYFUNCTION("""COMPUTED_VALUE"""),"কুড়িগ্রাম")</f>
        <v>কুড়িগ্রাম</v>
      </c>
      <c r="F114" s="21" t="str">
        <f ca="1">IFERROR(__xludf.DUMMYFUNCTION("""COMPUTED_VALUE"""),"চর রাজিবপুর")</f>
        <v>চর রাজিবপুর</v>
      </c>
      <c r="G114" s="21"/>
      <c r="H114" s="21"/>
      <c r="I114" s="21"/>
      <c r="J114" s="21" t="str">
        <f ca="1">IFERROR(__xludf.DUMMYFUNCTION("""COMPUTED_VALUE"""),"প্রণোদনা")</f>
        <v>প্রণোদনা</v>
      </c>
      <c r="K114" s="21"/>
      <c r="L114" s="21">
        <f ca="1">IFERROR(__xludf.DUMMYFUNCTION("""COMPUTED_VALUE"""),25.45699)</f>
        <v>25.456990000000001</v>
      </c>
      <c r="M114" s="21">
        <f ca="1">IFERROR(__xludf.DUMMYFUNCTION("""COMPUTED_VALUE"""),89.76707)</f>
        <v>89.767070000000004</v>
      </c>
      <c r="N114" s="21"/>
      <c r="O11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4" s="21" t="str">
        <f ca="1">IFERROR(__xludf.DUMMYFUNCTION("""COMPUTED_VALUE"""),"ফলদ, বনজ")</f>
        <v>ফলদ, বনজ</v>
      </c>
      <c r="Q114" s="21">
        <f ca="1">IFERROR(__xludf.DUMMYFUNCTION("""COMPUTED_VALUE"""),5)</f>
        <v>5</v>
      </c>
      <c r="R114" s="21"/>
      <c r="S114" s="21"/>
      <c r="T114" s="21"/>
      <c r="U114" s="21" t="str">
        <f ca="1">IFERROR(__xludf.DUMMYFUNCTION("""COMPUTED_VALUE"""),"মোঃ আবু বক্কর")</f>
        <v>মোঃ আবু বক্কর</v>
      </c>
      <c r="V114" s="21" t="str">
        <f ca="1">IFERROR(__xludf.DUMMYFUNCTION("""COMPUTED_VALUE"""),"০১৯৮৯০০৮৭০৯")</f>
        <v>০১৯৮৯০০৮৭০৯</v>
      </c>
      <c r="W114" s="21" t="str">
        <f ca="1">IFERROR(__xludf.DUMMYFUNCTION("""COMPUTED_VALUE"""),"মোঃ নজরুল ইসলাম")</f>
        <v>মোঃ নজরুল ইসলাম</v>
      </c>
      <c r="X114" s="21" t="str">
        <f ca="1">IFERROR(__xludf.DUMMYFUNCTION("""COMPUTED_VALUE"""),"১৯১৭১৮৬৬৮৫")</f>
        <v>১৯১৭১৮৬৬৮৫</v>
      </c>
      <c r="Y114" s="21"/>
      <c r="Z114" s="21"/>
      <c r="AA114" s="21"/>
      <c r="AB114" s="21"/>
      <c r="AC114" s="21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15" customHeight="1" x14ac:dyDescent="0.15">
      <c r="A115" s="25"/>
      <c r="B115" s="25"/>
      <c r="C115" s="25" t="str">
        <f ca="1">IFERROR(__xludf.DUMMYFUNCTION("""COMPUTED_VALUE"""),"রংপুর")</f>
        <v>রংপুর</v>
      </c>
      <c r="D115" s="25" t="str">
        <f ca="1">IFERROR(__xludf.DUMMYFUNCTION("""COMPUTED_VALUE"""),"রংপুর")</f>
        <v>রংপুর</v>
      </c>
      <c r="E115" s="25" t="str">
        <f ca="1">IFERROR(__xludf.DUMMYFUNCTION("""COMPUTED_VALUE"""),"কুড়িগ্রাম")</f>
        <v>কুড়িগ্রাম</v>
      </c>
      <c r="F115" s="25" t="str">
        <f ca="1">IFERROR(__xludf.DUMMYFUNCTION("""COMPUTED_VALUE"""),"চর রাজিবপুর")</f>
        <v>চর রাজিবপুর</v>
      </c>
      <c r="G115" s="25"/>
      <c r="H115" s="25"/>
      <c r="I115" s="25"/>
      <c r="J115" s="25" t="str">
        <f ca="1">IFERROR(__xludf.DUMMYFUNCTION("""COMPUTED_VALUE"""),"প্রণোদনা")</f>
        <v>প্রণোদনা</v>
      </c>
      <c r="K115" s="25"/>
      <c r="L115" s="25">
        <f ca="1">IFERROR(__xludf.DUMMYFUNCTION("""COMPUTED_VALUE"""),25.4578)</f>
        <v>25.457799999999999</v>
      </c>
      <c r="M115" s="25">
        <f ca="1">IFERROR(__xludf.DUMMYFUNCTION("""COMPUTED_VALUE"""),89.76787)</f>
        <v>89.767870000000002</v>
      </c>
      <c r="N115" s="25"/>
      <c r="O11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5" s="25" t="str">
        <f ca="1">IFERROR(__xludf.DUMMYFUNCTION("""COMPUTED_VALUE"""),"ফলদ, বনজ")</f>
        <v>ফলদ, বনজ</v>
      </c>
      <c r="Q115" s="25">
        <f ca="1">IFERROR(__xludf.DUMMYFUNCTION("""COMPUTED_VALUE"""),5)</f>
        <v>5</v>
      </c>
      <c r="R115" s="25"/>
      <c r="S115" s="25"/>
      <c r="T115" s="25"/>
      <c r="U115" s="25" t="str">
        <f ca="1">IFERROR(__xludf.DUMMYFUNCTION("""COMPUTED_VALUE"""),"মোঃ বদিউজ্জামান")</f>
        <v>মোঃ বদিউজ্জামান</v>
      </c>
      <c r="V115" s="25" t="str">
        <f ca="1">IFERROR(__xludf.DUMMYFUNCTION("""COMPUTED_VALUE"""),"০১৯৬৪৩৪৪৯২২")</f>
        <v>০১৯৬৪৩৪৪৯২২</v>
      </c>
      <c r="W115" s="25" t="str">
        <f ca="1">IFERROR(__xludf.DUMMYFUNCTION("""COMPUTED_VALUE"""),"মোঃ নজরুল ইসলাম")</f>
        <v>মোঃ নজরুল ইসলাম</v>
      </c>
      <c r="X115" s="25" t="str">
        <f ca="1">IFERROR(__xludf.DUMMYFUNCTION("""COMPUTED_VALUE"""),"১৯১৭১৮৬৬৮৫")</f>
        <v>১৯১৭১৮৬৬৮৫</v>
      </c>
      <c r="Y115" s="25"/>
      <c r="Z115" s="25"/>
      <c r="AA115" s="25"/>
      <c r="AB115" s="25"/>
      <c r="AC115" s="25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spans="1:40" ht="15" customHeight="1" x14ac:dyDescent="0.15">
      <c r="A116" s="21"/>
      <c r="B116" s="21"/>
      <c r="C116" s="21" t="str">
        <f ca="1">IFERROR(__xludf.DUMMYFUNCTION("""COMPUTED_VALUE"""),"রংপুর")</f>
        <v>রংপুর</v>
      </c>
      <c r="D116" s="21" t="str">
        <f ca="1">IFERROR(__xludf.DUMMYFUNCTION("""COMPUTED_VALUE"""),"রংপুর")</f>
        <v>রংপুর</v>
      </c>
      <c r="E116" s="21" t="str">
        <f ca="1">IFERROR(__xludf.DUMMYFUNCTION("""COMPUTED_VALUE"""),"কুড়িগ্রাম")</f>
        <v>কুড়িগ্রাম</v>
      </c>
      <c r="F116" s="21" t="str">
        <f ca="1">IFERROR(__xludf.DUMMYFUNCTION("""COMPUTED_VALUE"""),"চর রাজিবপুর")</f>
        <v>চর রাজিবপুর</v>
      </c>
      <c r="G116" s="21"/>
      <c r="H116" s="21"/>
      <c r="I116" s="21"/>
      <c r="J116" s="21" t="str">
        <f ca="1">IFERROR(__xludf.DUMMYFUNCTION("""COMPUTED_VALUE"""),"প্রণোদনা")</f>
        <v>প্রণোদনা</v>
      </c>
      <c r="K116" s="21"/>
      <c r="L116" s="21">
        <f ca="1">IFERROR(__xludf.DUMMYFUNCTION("""COMPUTED_VALUE"""),25.45916)</f>
        <v>25.459160000000001</v>
      </c>
      <c r="M116" s="21">
        <f ca="1">IFERROR(__xludf.DUMMYFUNCTION("""COMPUTED_VALUE"""),89.80309)</f>
        <v>89.803089999999997</v>
      </c>
      <c r="N116" s="21"/>
      <c r="O11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6" s="21" t="str">
        <f ca="1">IFERROR(__xludf.DUMMYFUNCTION("""COMPUTED_VALUE"""),"ফলদ, বনজ")</f>
        <v>ফলদ, বনজ</v>
      </c>
      <c r="Q116" s="21">
        <f ca="1">IFERROR(__xludf.DUMMYFUNCTION("""COMPUTED_VALUE"""),5)</f>
        <v>5</v>
      </c>
      <c r="R116" s="21"/>
      <c r="S116" s="21"/>
      <c r="T116" s="21"/>
      <c r="U116" s="21" t="str">
        <f ca="1">IFERROR(__xludf.DUMMYFUNCTION("""COMPUTED_VALUE"""),"মোঃ গোলাম হোসেন")</f>
        <v>মোঃ গোলাম হোসেন</v>
      </c>
      <c r="V116" s="21" t="str">
        <f ca="1">IFERROR(__xludf.DUMMYFUNCTION("""COMPUTED_VALUE"""),"০১৯৪১৪১০৫৯")</f>
        <v>০১৯৪১৪১০৫৯</v>
      </c>
      <c r="W116" s="21" t="str">
        <f ca="1">IFERROR(__xludf.DUMMYFUNCTION("""COMPUTED_VALUE"""),"মোঃ নজরুল ইসলাম")</f>
        <v>মোঃ নজরুল ইসলাম</v>
      </c>
      <c r="X116" s="21" t="str">
        <f ca="1">IFERROR(__xludf.DUMMYFUNCTION("""COMPUTED_VALUE"""),"১৯১৭১৮৬৬৮৫")</f>
        <v>১৯১৭১৮৬৬৮৫</v>
      </c>
      <c r="Y116" s="21"/>
      <c r="Z116" s="21"/>
      <c r="AA116" s="21"/>
      <c r="AB116" s="21"/>
      <c r="AC116" s="21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ht="15" customHeight="1" x14ac:dyDescent="0.15">
      <c r="A117" s="25"/>
      <c r="B117" s="25"/>
      <c r="C117" s="25" t="str">
        <f ca="1">IFERROR(__xludf.DUMMYFUNCTION("""COMPUTED_VALUE"""),"রংপুর")</f>
        <v>রংপুর</v>
      </c>
      <c r="D117" s="25" t="str">
        <f ca="1">IFERROR(__xludf.DUMMYFUNCTION("""COMPUTED_VALUE"""),"রংপুর")</f>
        <v>রংপুর</v>
      </c>
      <c r="E117" s="25" t="str">
        <f ca="1">IFERROR(__xludf.DUMMYFUNCTION("""COMPUTED_VALUE"""),"কুড়িগ্রাম")</f>
        <v>কুড়িগ্রাম</v>
      </c>
      <c r="F117" s="25" t="str">
        <f ca="1">IFERROR(__xludf.DUMMYFUNCTION("""COMPUTED_VALUE"""),"চর রাজিবপুর")</f>
        <v>চর রাজিবপুর</v>
      </c>
      <c r="G117" s="25"/>
      <c r="H117" s="25"/>
      <c r="I117" s="25"/>
      <c r="J117" s="25" t="str">
        <f ca="1">IFERROR(__xludf.DUMMYFUNCTION("""COMPUTED_VALUE"""),"প্রণোদনা")</f>
        <v>প্রণোদনা</v>
      </c>
      <c r="K117" s="25"/>
      <c r="L117" s="25">
        <f ca="1">IFERROR(__xludf.DUMMYFUNCTION("""COMPUTED_VALUE"""),25.45661)</f>
        <v>25.456610000000001</v>
      </c>
      <c r="M117" s="25">
        <f ca="1">IFERROR(__xludf.DUMMYFUNCTION("""COMPUTED_VALUE"""),89.81131)</f>
        <v>89.811310000000006</v>
      </c>
      <c r="N117" s="25"/>
      <c r="O11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7" s="25" t="str">
        <f ca="1">IFERROR(__xludf.DUMMYFUNCTION("""COMPUTED_VALUE"""),"ফলদ, বনজ")</f>
        <v>ফলদ, বনজ</v>
      </c>
      <c r="Q117" s="25">
        <f ca="1">IFERROR(__xludf.DUMMYFUNCTION("""COMPUTED_VALUE"""),5)</f>
        <v>5</v>
      </c>
      <c r="R117" s="25"/>
      <c r="S117" s="25"/>
      <c r="T117" s="25"/>
      <c r="U117" s="25" t="str">
        <f ca="1">IFERROR(__xludf.DUMMYFUNCTION("""COMPUTED_VALUE"""),"মোঃ আব্দুল ওয়াদুদ")</f>
        <v>মোঃ আব্দুল ওয়াদুদ</v>
      </c>
      <c r="V117" s="25" t="str">
        <f ca="1">IFERROR(__xludf.DUMMYFUNCTION("""COMPUTED_VALUE"""),"০১৭৩৪৪২০২৭৭")</f>
        <v>০১৭৩৪৪২০২৭৭</v>
      </c>
      <c r="W117" s="25" t="str">
        <f ca="1">IFERROR(__xludf.DUMMYFUNCTION("""COMPUTED_VALUE"""),"মোঃ নজরুল ইসলাম")</f>
        <v>মোঃ নজরুল ইসলাম</v>
      </c>
      <c r="X117" s="25" t="str">
        <f ca="1">IFERROR(__xludf.DUMMYFUNCTION("""COMPUTED_VALUE"""),"১৯১৭১৮৬৬৮৫")</f>
        <v>১৯১৭১৮৬৬৮৫</v>
      </c>
      <c r="Y117" s="25"/>
      <c r="Z117" s="25"/>
      <c r="AA117" s="25"/>
      <c r="AB117" s="25"/>
      <c r="AC117" s="25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spans="1:40" ht="15" customHeight="1" x14ac:dyDescent="0.15">
      <c r="A118" s="21"/>
      <c r="B118" s="21"/>
      <c r="C118" s="21" t="str">
        <f ca="1">IFERROR(__xludf.DUMMYFUNCTION("""COMPUTED_VALUE"""),"রংপুর")</f>
        <v>রংপুর</v>
      </c>
      <c r="D118" s="21" t="str">
        <f ca="1">IFERROR(__xludf.DUMMYFUNCTION("""COMPUTED_VALUE"""),"রংপুর")</f>
        <v>রংপুর</v>
      </c>
      <c r="E118" s="21" t="str">
        <f ca="1">IFERROR(__xludf.DUMMYFUNCTION("""COMPUTED_VALUE"""),"কুড়িগ্রাম")</f>
        <v>কুড়িগ্রাম</v>
      </c>
      <c r="F118" s="21" t="str">
        <f ca="1">IFERROR(__xludf.DUMMYFUNCTION("""COMPUTED_VALUE"""),"চর রাজিবপুর")</f>
        <v>চর রাজিবপুর</v>
      </c>
      <c r="G118" s="21"/>
      <c r="H118" s="21"/>
      <c r="I118" s="21"/>
      <c r="J118" s="21" t="str">
        <f ca="1">IFERROR(__xludf.DUMMYFUNCTION("""COMPUTED_VALUE"""),"প্রণোদনা")</f>
        <v>প্রণোদনা</v>
      </c>
      <c r="K118" s="21"/>
      <c r="L118" s="21">
        <f ca="1">IFERROR(__xludf.DUMMYFUNCTION("""COMPUTED_VALUE"""),25.45522)</f>
        <v>25.455220000000001</v>
      </c>
      <c r="M118" s="21">
        <f ca="1">IFERROR(__xludf.DUMMYFUNCTION("""COMPUTED_VALUE"""),89.80802)</f>
        <v>89.808019999999999</v>
      </c>
      <c r="N118" s="21"/>
      <c r="O11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8" s="21" t="str">
        <f ca="1">IFERROR(__xludf.DUMMYFUNCTION("""COMPUTED_VALUE"""),"ফলদ, বনজ")</f>
        <v>ফলদ, বনজ</v>
      </c>
      <c r="Q118" s="21">
        <f ca="1">IFERROR(__xludf.DUMMYFUNCTION("""COMPUTED_VALUE"""),5)</f>
        <v>5</v>
      </c>
      <c r="R118" s="21"/>
      <c r="S118" s="21"/>
      <c r="T118" s="21"/>
      <c r="U118" s="21" t="str">
        <f ca="1">IFERROR(__xludf.DUMMYFUNCTION("""COMPUTED_VALUE"""),"মোছাঃ লতফিা বগেম")</f>
        <v>মোছাঃ লতফিা বগেম</v>
      </c>
      <c r="V118" s="21" t="str">
        <f ca="1">IFERROR(__xludf.DUMMYFUNCTION("""COMPUTED_VALUE"""),"০১৯৪৪৩২২২৭০")</f>
        <v>০১৯৪৪৩২২২৭০</v>
      </c>
      <c r="W118" s="21" t="str">
        <f ca="1">IFERROR(__xludf.DUMMYFUNCTION("""COMPUTED_VALUE"""),"মোঃ জহুরুল হক, ")</f>
        <v xml:space="preserve">মোঃ জহুরুল হক, </v>
      </c>
      <c r="X118" s="21" t="str">
        <f ca="1">IFERROR(__xludf.DUMMYFUNCTION("""COMPUTED_VALUE"""),"০১৭৮৫৬৬২৩৩৬")</f>
        <v>০১৭৮৫৬৬২৩৩৬</v>
      </c>
      <c r="Y118" s="21"/>
      <c r="Z118" s="21"/>
      <c r="AA118" s="21"/>
      <c r="AB118" s="21"/>
      <c r="AC118" s="21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ht="15" customHeight="1" x14ac:dyDescent="0.15">
      <c r="A119" s="25"/>
      <c r="B119" s="25"/>
      <c r="C119" s="25" t="str">
        <f ca="1">IFERROR(__xludf.DUMMYFUNCTION("""COMPUTED_VALUE"""),"রংপুর")</f>
        <v>রংপুর</v>
      </c>
      <c r="D119" s="25" t="str">
        <f ca="1">IFERROR(__xludf.DUMMYFUNCTION("""COMPUTED_VALUE"""),"রংপুর")</f>
        <v>রংপুর</v>
      </c>
      <c r="E119" s="25" t="str">
        <f ca="1">IFERROR(__xludf.DUMMYFUNCTION("""COMPUTED_VALUE"""),"কুড়িগ্রাম")</f>
        <v>কুড়িগ্রাম</v>
      </c>
      <c r="F119" s="25" t="str">
        <f ca="1">IFERROR(__xludf.DUMMYFUNCTION("""COMPUTED_VALUE"""),"চর রাজিবপুর")</f>
        <v>চর রাজিবপুর</v>
      </c>
      <c r="G119" s="25"/>
      <c r="H119" s="25"/>
      <c r="I119" s="25"/>
      <c r="J119" s="25" t="str">
        <f ca="1">IFERROR(__xludf.DUMMYFUNCTION("""COMPUTED_VALUE"""),"প্রণোদনা")</f>
        <v>প্রণোদনা</v>
      </c>
      <c r="K119" s="25"/>
      <c r="L119" s="25">
        <f ca="1">IFERROR(__xludf.DUMMYFUNCTION("""COMPUTED_VALUE"""),25.45465)</f>
        <v>25.454650000000001</v>
      </c>
      <c r="M119" s="25">
        <f ca="1">IFERROR(__xludf.DUMMYFUNCTION("""COMPUTED_VALUE"""),89.80771)</f>
        <v>89.80771</v>
      </c>
      <c r="N119" s="25"/>
      <c r="O11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9" s="25" t="str">
        <f ca="1">IFERROR(__xludf.DUMMYFUNCTION("""COMPUTED_VALUE"""),"ফলদ, বনজ")</f>
        <v>ফলদ, বনজ</v>
      </c>
      <c r="Q119" s="25">
        <f ca="1">IFERROR(__xludf.DUMMYFUNCTION("""COMPUTED_VALUE"""),5)</f>
        <v>5</v>
      </c>
      <c r="R119" s="25"/>
      <c r="S119" s="25"/>
      <c r="T119" s="25"/>
      <c r="U119" s="25" t="str">
        <f ca="1">IFERROR(__xludf.DUMMYFUNCTION("""COMPUTED_VALUE"""),"মোঃ মালকো বগেম")</f>
        <v>মোঃ মালকো বগেম</v>
      </c>
      <c r="V119" s="25" t="str">
        <f ca="1">IFERROR(__xludf.DUMMYFUNCTION("""COMPUTED_VALUE"""),"০১৯৮৯৮৩৫৬৯০")</f>
        <v>০১৯৮৯৮৩৫৬৯০</v>
      </c>
      <c r="W119" s="25" t="str">
        <f ca="1">IFERROR(__xludf.DUMMYFUNCTION("""COMPUTED_VALUE"""),"মোঃ জহুরুল হক, ")</f>
        <v xml:space="preserve">মোঃ জহুরুল হক, </v>
      </c>
      <c r="X119" s="25" t="str">
        <f ca="1">IFERROR(__xludf.DUMMYFUNCTION("""COMPUTED_VALUE"""),"০১৭৮৫৬৬২৩৩৬")</f>
        <v>০১৭৮৫৬৬২৩৩৬</v>
      </c>
      <c r="Y119" s="25"/>
      <c r="Z119" s="25"/>
      <c r="AA119" s="25"/>
      <c r="AB119" s="25"/>
      <c r="AC119" s="25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spans="1:40" ht="15" customHeight="1" x14ac:dyDescent="0.15">
      <c r="A120" s="21"/>
      <c r="B120" s="21"/>
      <c r="C120" s="21" t="str">
        <f ca="1">IFERROR(__xludf.DUMMYFUNCTION("""COMPUTED_VALUE"""),"রংপুর")</f>
        <v>রংপুর</v>
      </c>
      <c r="D120" s="21" t="str">
        <f ca="1">IFERROR(__xludf.DUMMYFUNCTION("""COMPUTED_VALUE"""),"রংপুর")</f>
        <v>রংপুর</v>
      </c>
      <c r="E120" s="21" t="str">
        <f ca="1">IFERROR(__xludf.DUMMYFUNCTION("""COMPUTED_VALUE"""),"কুড়িগ্রাম")</f>
        <v>কুড়িগ্রাম</v>
      </c>
      <c r="F120" s="21" t="str">
        <f ca="1">IFERROR(__xludf.DUMMYFUNCTION("""COMPUTED_VALUE"""),"চর রাজিবপুর")</f>
        <v>চর রাজিবপুর</v>
      </c>
      <c r="G120" s="21"/>
      <c r="H120" s="21"/>
      <c r="I120" s="21"/>
      <c r="J120" s="21" t="str">
        <f ca="1">IFERROR(__xludf.DUMMYFUNCTION("""COMPUTED_VALUE"""),"প্রণোদনা")</f>
        <v>প্রণোদনা</v>
      </c>
      <c r="K120" s="21"/>
      <c r="L120" s="21">
        <f ca="1">IFERROR(__xludf.DUMMYFUNCTION("""COMPUTED_VALUE"""),25.44663)</f>
        <v>25.446629999999999</v>
      </c>
      <c r="M120" s="21">
        <f ca="1">IFERROR(__xludf.DUMMYFUNCTION("""COMPUTED_VALUE"""),89.80105)</f>
        <v>89.801050000000004</v>
      </c>
      <c r="N120" s="21"/>
      <c r="O12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0" s="21" t="str">
        <f ca="1">IFERROR(__xludf.DUMMYFUNCTION("""COMPUTED_VALUE"""),"ফলদ, বনজ")</f>
        <v>ফলদ, বনজ</v>
      </c>
      <c r="Q120" s="21">
        <f ca="1">IFERROR(__xludf.DUMMYFUNCTION("""COMPUTED_VALUE"""),5)</f>
        <v>5</v>
      </c>
      <c r="R120" s="21"/>
      <c r="S120" s="21"/>
      <c r="T120" s="21"/>
      <c r="U120" s="21" t="str">
        <f ca="1">IFERROR(__xludf.DUMMYFUNCTION("""COMPUTED_VALUE"""),"মোঃ আছমত আলী")</f>
        <v>মোঃ আছমত আলী</v>
      </c>
      <c r="V120" s="21" t="str">
        <f ca="1">IFERROR(__xludf.DUMMYFUNCTION("""COMPUTED_VALUE"""),"০১৯৩৪২৩৮২৩৭")</f>
        <v>০১৯৩৪২৩৮২৩৭</v>
      </c>
      <c r="W120" s="21" t="str">
        <f ca="1">IFERROR(__xludf.DUMMYFUNCTION("""COMPUTED_VALUE"""),"মোঃ জহুরুল হক, ")</f>
        <v xml:space="preserve">মোঃ জহুরুল হক, </v>
      </c>
      <c r="X120" s="21" t="str">
        <f ca="1">IFERROR(__xludf.DUMMYFUNCTION("""COMPUTED_VALUE"""),"০১৭৮৫৬৬২৩৩৬")</f>
        <v>০১৭৮৫৬৬২৩৩৬</v>
      </c>
      <c r="Y120" s="21"/>
      <c r="Z120" s="21"/>
      <c r="AA120" s="21"/>
      <c r="AB120" s="21"/>
      <c r="AC120" s="21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ht="15" customHeight="1" x14ac:dyDescent="0.15">
      <c r="A121" s="25"/>
      <c r="B121" s="25"/>
      <c r="C121" s="25" t="str">
        <f ca="1">IFERROR(__xludf.DUMMYFUNCTION("""COMPUTED_VALUE"""),"রংপুর")</f>
        <v>রংপুর</v>
      </c>
      <c r="D121" s="25" t="str">
        <f ca="1">IFERROR(__xludf.DUMMYFUNCTION("""COMPUTED_VALUE"""),"রংপুর")</f>
        <v>রংপুর</v>
      </c>
      <c r="E121" s="25" t="str">
        <f ca="1">IFERROR(__xludf.DUMMYFUNCTION("""COMPUTED_VALUE"""),"কুড়িগ্রাম")</f>
        <v>কুড়িগ্রাম</v>
      </c>
      <c r="F121" s="25" t="str">
        <f ca="1">IFERROR(__xludf.DUMMYFUNCTION("""COMPUTED_VALUE"""),"চর রাজিবপুর")</f>
        <v>চর রাজিবপুর</v>
      </c>
      <c r="G121" s="25"/>
      <c r="H121" s="25"/>
      <c r="I121" s="25"/>
      <c r="J121" s="25" t="str">
        <f ca="1">IFERROR(__xludf.DUMMYFUNCTION("""COMPUTED_VALUE"""),"প্রণোদনা")</f>
        <v>প্রণোদনা</v>
      </c>
      <c r="K121" s="25"/>
      <c r="L121" s="25">
        <f ca="1">IFERROR(__xludf.DUMMYFUNCTION("""COMPUTED_VALUE"""),25.47502)</f>
        <v>25.475020000000001</v>
      </c>
      <c r="M121" s="25">
        <f ca="1">IFERROR(__xludf.DUMMYFUNCTION("""COMPUTED_VALUE"""),89.81727)</f>
        <v>89.817269999999994</v>
      </c>
      <c r="N121" s="25"/>
      <c r="O12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1" s="25" t="str">
        <f ca="1">IFERROR(__xludf.DUMMYFUNCTION("""COMPUTED_VALUE"""),"ফলদ, বনজ")</f>
        <v>ফলদ, বনজ</v>
      </c>
      <c r="Q121" s="25">
        <f ca="1">IFERROR(__xludf.DUMMYFUNCTION("""COMPUTED_VALUE"""),5)</f>
        <v>5</v>
      </c>
      <c r="R121" s="25"/>
      <c r="S121" s="25"/>
      <c r="T121" s="25"/>
      <c r="U121" s="25" t="str">
        <f ca="1">IFERROR(__xludf.DUMMYFUNCTION("""COMPUTED_VALUE"""),"মোঃ রুমানুর রহমান")</f>
        <v>মোঃ রুমানুর রহমান</v>
      </c>
      <c r="V121" s="25" t="str">
        <f ca="1">IFERROR(__xludf.DUMMYFUNCTION("""COMPUTED_VALUE"""),"০১৯৩২২১৫৮১৩")</f>
        <v>০১৯৩২২১৫৮১৩</v>
      </c>
      <c r="W121" s="25" t="str">
        <f ca="1">IFERROR(__xludf.DUMMYFUNCTION("""COMPUTED_VALUE"""),"মোঃ জহুরুল হক, ")</f>
        <v xml:space="preserve">মোঃ জহুরুল হক, </v>
      </c>
      <c r="X121" s="25" t="str">
        <f ca="1">IFERROR(__xludf.DUMMYFUNCTION("""COMPUTED_VALUE"""),"০১৭৮৫৬৬২৩৩৬")</f>
        <v>০১৭৮৫৬৬২৩৩৬</v>
      </c>
      <c r="Y121" s="25"/>
      <c r="Z121" s="25"/>
      <c r="AA121" s="25"/>
      <c r="AB121" s="25"/>
      <c r="AC121" s="25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spans="1:40" ht="15" customHeight="1" x14ac:dyDescent="0.15">
      <c r="A122" s="21"/>
      <c r="B122" s="21"/>
      <c r="C122" s="21" t="str">
        <f ca="1">IFERROR(__xludf.DUMMYFUNCTION("""COMPUTED_VALUE"""),"রংপুর")</f>
        <v>রংপুর</v>
      </c>
      <c r="D122" s="21" t="str">
        <f ca="1">IFERROR(__xludf.DUMMYFUNCTION("""COMPUTED_VALUE"""),"রংপুর")</f>
        <v>রংপুর</v>
      </c>
      <c r="E122" s="21" t="str">
        <f ca="1">IFERROR(__xludf.DUMMYFUNCTION("""COMPUTED_VALUE"""),"কুড়িগ্রাম")</f>
        <v>কুড়িগ্রাম</v>
      </c>
      <c r="F122" s="21" t="str">
        <f ca="1">IFERROR(__xludf.DUMMYFUNCTION("""COMPUTED_VALUE"""),"চর রাজিবপুর")</f>
        <v>চর রাজিবপুর</v>
      </c>
      <c r="G122" s="21"/>
      <c r="H122" s="21"/>
      <c r="I122" s="21"/>
      <c r="J122" s="21" t="str">
        <f ca="1">IFERROR(__xludf.DUMMYFUNCTION("""COMPUTED_VALUE"""),"প্রণোদনা")</f>
        <v>প্রণোদনা</v>
      </c>
      <c r="K122" s="21"/>
      <c r="L122" s="21">
        <f ca="1">IFERROR(__xludf.DUMMYFUNCTION("""COMPUTED_VALUE"""),25.45121)</f>
        <v>25.45121</v>
      </c>
      <c r="M122" s="21">
        <f ca="1">IFERROR(__xludf.DUMMYFUNCTION("""COMPUTED_VALUE"""),89.80975)</f>
        <v>89.809749999999994</v>
      </c>
      <c r="N122" s="21"/>
      <c r="O12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2" s="21" t="str">
        <f ca="1">IFERROR(__xludf.DUMMYFUNCTION("""COMPUTED_VALUE"""),"ফলদ, বনজ")</f>
        <v>ফলদ, বনজ</v>
      </c>
      <c r="Q122" s="21">
        <f ca="1">IFERROR(__xludf.DUMMYFUNCTION("""COMPUTED_VALUE"""),5)</f>
        <v>5</v>
      </c>
      <c r="R122" s="21"/>
      <c r="S122" s="21"/>
      <c r="T122" s="21"/>
      <c r="U122" s="21" t="str">
        <f ca="1">IFERROR(__xludf.DUMMYFUNCTION("""COMPUTED_VALUE"""),"মোছাঃ অজুফা খাতুন")</f>
        <v>মোছাঃ অজুফা খাতুন</v>
      </c>
      <c r="V122" s="21" t="str">
        <f ca="1">IFERROR(__xludf.DUMMYFUNCTION("""COMPUTED_VALUE"""),"০১৯৫৫১৫৬৭২৩")</f>
        <v>০১৯৫৫১৫৬৭২৩</v>
      </c>
      <c r="W122" s="21" t="str">
        <f ca="1">IFERROR(__xludf.DUMMYFUNCTION("""COMPUTED_VALUE"""),"মোঃ জহুরুল হক, ")</f>
        <v xml:space="preserve">মোঃ জহুরুল হক, </v>
      </c>
      <c r="X122" s="21" t="str">
        <f ca="1">IFERROR(__xludf.DUMMYFUNCTION("""COMPUTED_VALUE"""),"০১৭৮৫৬৬২৩৩৬")</f>
        <v>০১৭৮৫৬৬২৩৩৬</v>
      </c>
      <c r="Y122" s="21"/>
      <c r="Z122" s="21"/>
      <c r="AA122" s="21"/>
      <c r="AB122" s="21"/>
      <c r="AC122" s="21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ht="15" customHeight="1" x14ac:dyDescent="0.15">
      <c r="A123" s="25"/>
      <c r="B123" s="25"/>
      <c r="C123" s="25" t="str">
        <f ca="1">IFERROR(__xludf.DUMMYFUNCTION("""COMPUTED_VALUE"""),"রংপুর")</f>
        <v>রংপুর</v>
      </c>
      <c r="D123" s="25" t="str">
        <f ca="1">IFERROR(__xludf.DUMMYFUNCTION("""COMPUTED_VALUE"""),"রংপুর")</f>
        <v>রংপুর</v>
      </c>
      <c r="E123" s="25" t="str">
        <f ca="1">IFERROR(__xludf.DUMMYFUNCTION("""COMPUTED_VALUE"""),"কুড়িগ্রাম")</f>
        <v>কুড়িগ্রাম</v>
      </c>
      <c r="F123" s="25" t="str">
        <f ca="1">IFERROR(__xludf.DUMMYFUNCTION("""COMPUTED_VALUE"""),"চর রাজিবপুর")</f>
        <v>চর রাজিবপুর</v>
      </c>
      <c r="G123" s="25"/>
      <c r="H123" s="25"/>
      <c r="I123" s="25"/>
      <c r="J123" s="25" t="str">
        <f ca="1">IFERROR(__xludf.DUMMYFUNCTION("""COMPUTED_VALUE"""),"প্রণোদনা")</f>
        <v>প্রণোদনা</v>
      </c>
      <c r="K123" s="25"/>
      <c r="L123" s="25">
        <f ca="1">IFERROR(__xludf.DUMMYFUNCTION("""COMPUTED_VALUE"""),25.45117)</f>
        <v>25.451170000000001</v>
      </c>
      <c r="M123" s="25">
        <f ca="1">IFERROR(__xludf.DUMMYFUNCTION("""COMPUTED_VALUE"""),89.81354)</f>
        <v>89.813540000000003</v>
      </c>
      <c r="N123" s="25"/>
      <c r="O12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3" s="25" t="str">
        <f ca="1">IFERROR(__xludf.DUMMYFUNCTION("""COMPUTED_VALUE"""),"ফলদ, বনজ")</f>
        <v>ফলদ, বনজ</v>
      </c>
      <c r="Q123" s="25">
        <f ca="1">IFERROR(__xludf.DUMMYFUNCTION("""COMPUTED_VALUE"""),5)</f>
        <v>5</v>
      </c>
      <c r="R123" s="25"/>
      <c r="S123" s="25"/>
      <c r="T123" s="25"/>
      <c r="U123" s="25" t="str">
        <f ca="1">IFERROR(__xludf.DUMMYFUNCTION("""COMPUTED_VALUE"""),"মোছাঃ মালকো বগেম")</f>
        <v>মোছাঃ মালকো বগেম</v>
      </c>
      <c r="V123" s="25" t="str">
        <f ca="1">IFERROR(__xludf.DUMMYFUNCTION("""COMPUTED_VALUE"""),"০১৯৩৫৬৩৩৫৩৫")</f>
        <v>০১৯৩৫৬৩৩৫৩৫</v>
      </c>
      <c r="W123" s="25" t="str">
        <f ca="1">IFERROR(__xludf.DUMMYFUNCTION("""COMPUTED_VALUE"""),"মোঃ জহুরুল হক, ")</f>
        <v xml:space="preserve">মোঃ জহুরুল হক, </v>
      </c>
      <c r="X123" s="25" t="str">
        <f ca="1">IFERROR(__xludf.DUMMYFUNCTION("""COMPUTED_VALUE"""),"০১৭৮৫৬৬২৩৩৬")</f>
        <v>০১৭৮৫৬৬২৩৩৬</v>
      </c>
      <c r="Y123" s="25"/>
      <c r="Z123" s="25"/>
      <c r="AA123" s="25"/>
      <c r="AB123" s="25"/>
      <c r="AC123" s="25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spans="1:40" ht="15" customHeight="1" x14ac:dyDescent="0.15">
      <c r="A124" s="21"/>
      <c r="B124" s="21"/>
      <c r="C124" s="21" t="str">
        <f ca="1">IFERROR(__xludf.DUMMYFUNCTION("""COMPUTED_VALUE"""),"রংপুর")</f>
        <v>রংপুর</v>
      </c>
      <c r="D124" s="21" t="str">
        <f ca="1">IFERROR(__xludf.DUMMYFUNCTION("""COMPUTED_VALUE"""),"রংপুর")</f>
        <v>রংপুর</v>
      </c>
      <c r="E124" s="21" t="str">
        <f ca="1">IFERROR(__xludf.DUMMYFUNCTION("""COMPUTED_VALUE"""),"কুড়িগ্রাম")</f>
        <v>কুড়িগ্রাম</v>
      </c>
      <c r="F124" s="21" t="str">
        <f ca="1">IFERROR(__xludf.DUMMYFUNCTION("""COMPUTED_VALUE"""),"চর রাজিবপুর")</f>
        <v>চর রাজিবপুর</v>
      </c>
      <c r="G124" s="21"/>
      <c r="H124" s="21"/>
      <c r="I124" s="21"/>
      <c r="J124" s="21" t="str">
        <f ca="1">IFERROR(__xludf.DUMMYFUNCTION("""COMPUTED_VALUE"""),"প্রণোদনা")</f>
        <v>প্রণোদনা</v>
      </c>
      <c r="K124" s="21"/>
      <c r="L124" s="21">
        <f ca="1">IFERROR(__xludf.DUMMYFUNCTION("""COMPUTED_VALUE"""),25.45156)</f>
        <v>25.451560000000001</v>
      </c>
      <c r="M124" s="21">
        <f ca="1">IFERROR(__xludf.DUMMYFUNCTION("""COMPUTED_VALUE"""),89.81366)</f>
        <v>89.813659999999999</v>
      </c>
      <c r="N124" s="21"/>
      <c r="O12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4" s="21" t="str">
        <f ca="1">IFERROR(__xludf.DUMMYFUNCTION("""COMPUTED_VALUE"""),"ফলদ, বনজ")</f>
        <v>ফলদ, বনজ</v>
      </c>
      <c r="Q124" s="21">
        <f ca="1">IFERROR(__xludf.DUMMYFUNCTION("""COMPUTED_VALUE"""),5)</f>
        <v>5</v>
      </c>
      <c r="R124" s="21"/>
      <c r="S124" s="21"/>
      <c r="T124" s="21"/>
      <c r="U124" s="21" t="str">
        <f ca="1">IFERROR(__xludf.DUMMYFUNCTION("""COMPUTED_VALUE"""),"মোছাঃ খাদজিা খাতুন")</f>
        <v>মোছাঃ খাদজিা খাতুন</v>
      </c>
      <c r="V124" s="21" t="str">
        <f ca="1">IFERROR(__xludf.DUMMYFUNCTION("""COMPUTED_VALUE"""),"০১৯৩৫৬৩৩৭৬৯")</f>
        <v>০১৯৩৫৬৩৩৭৬৯</v>
      </c>
      <c r="W124" s="21" t="str">
        <f ca="1">IFERROR(__xludf.DUMMYFUNCTION("""COMPUTED_VALUE"""),"মোঃ জহুরুল হক, ")</f>
        <v xml:space="preserve">মোঃ জহুরুল হক, </v>
      </c>
      <c r="X124" s="21" t="str">
        <f ca="1">IFERROR(__xludf.DUMMYFUNCTION("""COMPUTED_VALUE"""),"০১৭৮৫৬৬২৩৩৬")</f>
        <v>০১৭৮৫৬৬২৩৩৬</v>
      </c>
      <c r="Y124" s="21"/>
      <c r="Z124" s="21"/>
      <c r="AA124" s="21"/>
      <c r="AB124" s="21"/>
      <c r="AC124" s="21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ht="15" customHeight="1" x14ac:dyDescent="0.15">
      <c r="A125" s="25"/>
      <c r="B125" s="25"/>
      <c r="C125" s="25" t="str">
        <f ca="1">IFERROR(__xludf.DUMMYFUNCTION("""COMPUTED_VALUE"""),"রংপুর")</f>
        <v>রংপুর</v>
      </c>
      <c r="D125" s="25" t="str">
        <f ca="1">IFERROR(__xludf.DUMMYFUNCTION("""COMPUTED_VALUE"""),"রংপুর")</f>
        <v>রংপুর</v>
      </c>
      <c r="E125" s="25" t="str">
        <f ca="1">IFERROR(__xludf.DUMMYFUNCTION("""COMPUTED_VALUE"""),"কুড়িগ্রাম")</f>
        <v>কুড়িগ্রাম</v>
      </c>
      <c r="F125" s="25" t="str">
        <f ca="1">IFERROR(__xludf.DUMMYFUNCTION("""COMPUTED_VALUE"""),"চর রাজিবপুর")</f>
        <v>চর রাজিবপুর</v>
      </c>
      <c r="G125" s="25"/>
      <c r="H125" s="25"/>
      <c r="I125" s="25"/>
      <c r="J125" s="25" t="str">
        <f ca="1">IFERROR(__xludf.DUMMYFUNCTION("""COMPUTED_VALUE"""),"প্রণোদনা")</f>
        <v>প্রণোদনা</v>
      </c>
      <c r="K125" s="25"/>
      <c r="L125" s="25">
        <f ca="1">IFERROR(__xludf.DUMMYFUNCTION("""COMPUTED_VALUE"""),25.45354)</f>
        <v>25.45354</v>
      </c>
      <c r="M125" s="25">
        <f ca="1">IFERROR(__xludf.DUMMYFUNCTION("""COMPUTED_VALUE"""),89.81551)</f>
        <v>89.815510000000003</v>
      </c>
      <c r="N125" s="25"/>
      <c r="O12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5" s="25" t="str">
        <f ca="1">IFERROR(__xludf.DUMMYFUNCTION("""COMPUTED_VALUE"""),"ফলদ, বনজ")</f>
        <v>ফলদ, বনজ</v>
      </c>
      <c r="Q125" s="25">
        <f ca="1">IFERROR(__xludf.DUMMYFUNCTION("""COMPUTED_VALUE"""),5)</f>
        <v>5</v>
      </c>
      <c r="R125" s="25"/>
      <c r="S125" s="25"/>
      <c r="T125" s="25"/>
      <c r="U125" s="25" t="str">
        <f ca="1">IFERROR(__xludf.DUMMYFUNCTION("""COMPUTED_VALUE"""),"মোছাঃ মমতাজ খাতুন")</f>
        <v>মোছাঃ মমতাজ খাতুন</v>
      </c>
      <c r="V125" s="25" t="str">
        <f ca="1">IFERROR(__xludf.DUMMYFUNCTION("""COMPUTED_VALUE"""),"০১৯০৪৯৩৬০০১")</f>
        <v>০১৯০৪৯৩৬০০১</v>
      </c>
      <c r="W125" s="25" t="str">
        <f ca="1">IFERROR(__xludf.DUMMYFUNCTION("""COMPUTED_VALUE"""),"মোঃ জহুরুল হক, ")</f>
        <v xml:space="preserve">মোঃ জহুরুল হক, </v>
      </c>
      <c r="X125" s="25" t="str">
        <f ca="1">IFERROR(__xludf.DUMMYFUNCTION("""COMPUTED_VALUE"""),"০১৭৮৫৬৬২৩৩৬")</f>
        <v>০১৭৮৫৬৬২৩৩৬</v>
      </c>
      <c r="Y125" s="25"/>
      <c r="Z125" s="25"/>
      <c r="AA125" s="25"/>
      <c r="AB125" s="25"/>
      <c r="AC125" s="25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spans="1:40" ht="15" customHeight="1" x14ac:dyDescent="0.15">
      <c r="A126" s="21"/>
      <c r="B126" s="21"/>
      <c r="C126" s="21" t="str">
        <f ca="1">IFERROR(__xludf.DUMMYFUNCTION("""COMPUTED_VALUE"""),"রংপুর")</f>
        <v>রংপুর</v>
      </c>
      <c r="D126" s="21" t="str">
        <f ca="1">IFERROR(__xludf.DUMMYFUNCTION("""COMPUTED_VALUE"""),"রংপুর")</f>
        <v>রংপুর</v>
      </c>
      <c r="E126" s="21" t="str">
        <f ca="1">IFERROR(__xludf.DUMMYFUNCTION("""COMPUTED_VALUE"""),"কুড়িগ্রাম")</f>
        <v>কুড়িগ্রাম</v>
      </c>
      <c r="F126" s="21" t="str">
        <f ca="1">IFERROR(__xludf.DUMMYFUNCTION("""COMPUTED_VALUE"""),"চর রাজিবপুর")</f>
        <v>চর রাজিবপুর</v>
      </c>
      <c r="G126" s="21"/>
      <c r="H126" s="21"/>
      <c r="I126" s="21"/>
      <c r="J126" s="21" t="str">
        <f ca="1">IFERROR(__xludf.DUMMYFUNCTION("""COMPUTED_VALUE"""),"প্রণোদনা")</f>
        <v>প্রণোদনা</v>
      </c>
      <c r="K126" s="21"/>
      <c r="L126" s="21">
        <f ca="1">IFERROR(__xludf.DUMMYFUNCTION("""COMPUTED_VALUE"""),25.45528)</f>
        <v>25.455279999999998</v>
      </c>
      <c r="M126" s="21">
        <f ca="1">IFERROR(__xludf.DUMMYFUNCTION("""COMPUTED_VALUE"""),89.80773)</f>
        <v>89.807730000000006</v>
      </c>
      <c r="N126" s="21"/>
      <c r="O12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6" s="21" t="str">
        <f ca="1">IFERROR(__xludf.DUMMYFUNCTION("""COMPUTED_VALUE"""),"ফলদ, বনজ")</f>
        <v>ফলদ, বনজ</v>
      </c>
      <c r="Q126" s="21">
        <f ca="1">IFERROR(__xludf.DUMMYFUNCTION("""COMPUTED_VALUE"""),5)</f>
        <v>5</v>
      </c>
      <c r="R126" s="21"/>
      <c r="S126" s="21"/>
      <c r="T126" s="21"/>
      <c r="U126" s="21" t="str">
        <f ca="1">IFERROR(__xludf.DUMMYFUNCTION("""COMPUTED_VALUE"""),"মোঃ মোখলসেুর")</f>
        <v>মোঃ মোখলসেুর</v>
      </c>
      <c r="V126" s="21" t="str">
        <f ca="1">IFERROR(__xludf.DUMMYFUNCTION("""COMPUTED_VALUE"""),"০১৯১৭৮৪৪২১৯")</f>
        <v>০১৯১৭৮৪৪২১৯</v>
      </c>
      <c r="W126" s="21" t="str">
        <f ca="1">IFERROR(__xludf.DUMMYFUNCTION("""COMPUTED_VALUE"""),"মোঃ জহুরুল হক, ")</f>
        <v xml:space="preserve">মোঃ জহুরুল হক, </v>
      </c>
      <c r="X126" s="21" t="str">
        <f ca="1">IFERROR(__xludf.DUMMYFUNCTION("""COMPUTED_VALUE"""),"০১৭৮৫৬৬২৩৩৬")</f>
        <v>০১৭৮৫৬৬২৩৩৬</v>
      </c>
      <c r="Y126" s="21"/>
      <c r="Z126" s="21"/>
      <c r="AA126" s="21"/>
      <c r="AB126" s="21"/>
      <c r="AC126" s="21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ht="15" customHeight="1" x14ac:dyDescent="0.15">
      <c r="A127" s="25"/>
      <c r="B127" s="25"/>
      <c r="C127" s="25" t="str">
        <f ca="1">IFERROR(__xludf.DUMMYFUNCTION("""COMPUTED_VALUE"""),"রংপুর")</f>
        <v>রংপুর</v>
      </c>
      <c r="D127" s="25" t="str">
        <f ca="1">IFERROR(__xludf.DUMMYFUNCTION("""COMPUTED_VALUE"""),"রংপুর")</f>
        <v>রংপুর</v>
      </c>
      <c r="E127" s="25" t="str">
        <f ca="1">IFERROR(__xludf.DUMMYFUNCTION("""COMPUTED_VALUE"""),"কুড়িগ্রাম")</f>
        <v>কুড়িগ্রাম</v>
      </c>
      <c r="F127" s="25" t="str">
        <f ca="1">IFERROR(__xludf.DUMMYFUNCTION("""COMPUTED_VALUE"""),"চর রাজিবপুর")</f>
        <v>চর রাজিবপুর</v>
      </c>
      <c r="G127" s="25"/>
      <c r="H127" s="25"/>
      <c r="I127" s="25"/>
      <c r="J127" s="25" t="str">
        <f ca="1">IFERROR(__xludf.DUMMYFUNCTION("""COMPUTED_VALUE"""),"প্রণোদনা")</f>
        <v>প্রণোদনা</v>
      </c>
      <c r="K127" s="25"/>
      <c r="L127" s="25">
        <f ca="1">IFERROR(__xludf.DUMMYFUNCTION("""COMPUTED_VALUE"""),25.45217)</f>
        <v>25.452169999999999</v>
      </c>
      <c r="M127" s="25">
        <f ca="1">IFERROR(__xludf.DUMMYFUNCTION("""COMPUTED_VALUE"""),89.80964)</f>
        <v>89.809640000000002</v>
      </c>
      <c r="N127" s="25"/>
      <c r="O12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7" s="25" t="str">
        <f ca="1">IFERROR(__xludf.DUMMYFUNCTION("""COMPUTED_VALUE"""),"ফলদ, বনজ")</f>
        <v>ফলদ, বনজ</v>
      </c>
      <c r="Q127" s="25">
        <f ca="1">IFERROR(__xludf.DUMMYFUNCTION("""COMPUTED_VALUE"""),5)</f>
        <v>5</v>
      </c>
      <c r="R127" s="25"/>
      <c r="S127" s="25"/>
      <c r="T127" s="25"/>
      <c r="U127" s="25" t="str">
        <f ca="1">IFERROR(__xludf.DUMMYFUNCTION("""COMPUTED_VALUE"""),"মোছাঃ শ্যামলী খাতুন")</f>
        <v>মোছাঃ শ্যামলী খাতুন</v>
      </c>
      <c r="V127" s="25" t="str">
        <f ca="1">IFERROR(__xludf.DUMMYFUNCTION("""COMPUTED_VALUE"""),"০১৯৬৩৯৭৬৩৬৬")</f>
        <v>০১৯৬৩৯৭৬৩৬৬</v>
      </c>
      <c r="W127" s="25" t="str">
        <f ca="1">IFERROR(__xludf.DUMMYFUNCTION("""COMPUTED_VALUE"""),"মোঃ জহুরুল হক, ")</f>
        <v xml:space="preserve">মোঃ জহুরুল হক, </v>
      </c>
      <c r="X127" s="25" t="str">
        <f ca="1">IFERROR(__xludf.DUMMYFUNCTION("""COMPUTED_VALUE"""),"০১৭৮৫৬৬২৩৩৬")</f>
        <v>০১৭৮৫৬৬২৩৩৬</v>
      </c>
      <c r="Y127" s="25"/>
      <c r="Z127" s="25"/>
      <c r="AA127" s="25"/>
      <c r="AB127" s="25"/>
      <c r="AC127" s="25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spans="1:40" ht="15" customHeight="1" x14ac:dyDescent="0.15">
      <c r="A128" s="21"/>
      <c r="B128" s="21"/>
      <c r="C128" s="21" t="str">
        <f ca="1">IFERROR(__xludf.DUMMYFUNCTION("""COMPUTED_VALUE"""),"রংপুর")</f>
        <v>রংপুর</v>
      </c>
      <c r="D128" s="21" t="str">
        <f ca="1">IFERROR(__xludf.DUMMYFUNCTION("""COMPUTED_VALUE"""),"রংপুর")</f>
        <v>রংপুর</v>
      </c>
      <c r="E128" s="21" t="str">
        <f ca="1">IFERROR(__xludf.DUMMYFUNCTION("""COMPUTED_VALUE"""),"কুড়িগ্রাম")</f>
        <v>কুড়িগ্রাম</v>
      </c>
      <c r="F128" s="21" t="str">
        <f ca="1">IFERROR(__xludf.DUMMYFUNCTION("""COMPUTED_VALUE"""),"চর রাজিবপুর")</f>
        <v>চর রাজিবপুর</v>
      </c>
      <c r="G128" s="21"/>
      <c r="H128" s="21"/>
      <c r="I128" s="21"/>
      <c r="J128" s="21" t="str">
        <f ca="1">IFERROR(__xludf.DUMMYFUNCTION("""COMPUTED_VALUE"""),"প্রণোদনা")</f>
        <v>প্রণোদনা</v>
      </c>
      <c r="K128" s="21"/>
      <c r="L128" s="21">
        <f ca="1">IFERROR(__xludf.DUMMYFUNCTION("""COMPUTED_VALUE"""),25.45238)</f>
        <v>25.452380000000002</v>
      </c>
      <c r="M128" s="21">
        <f ca="1">IFERROR(__xludf.DUMMYFUNCTION("""COMPUTED_VALUE"""),89.80929)</f>
        <v>89.809290000000004</v>
      </c>
      <c r="N128" s="21"/>
      <c r="O12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8" s="21" t="str">
        <f ca="1">IFERROR(__xludf.DUMMYFUNCTION("""COMPUTED_VALUE"""),"ফলদ, বনজ")</f>
        <v>ফলদ, বনজ</v>
      </c>
      <c r="Q128" s="21">
        <f ca="1">IFERROR(__xludf.DUMMYFUNCTION("""COMPUTED_VALUE"""),5)</f>
        <v>5</v>
      </c>
      <c r="R128" s="21"/>
      <c r="S128" s="21"/>
      <c r="T128" s="21"/>
      <c r="U128" s="21" t="str">
        <f ca="1">IFERROR(__xludf.DUMMYFUNCTION("""COMPUTED_VALUE"""),"মোছাঃ মনরিা খাতুন")</f>
        <v>মোছাঃ মনরিা খাতুন</v>
      </c>
      <c r="V128" s="21" t="str">
        <f ca="1">IFERROR(__xludf.DUMMYFUNCTION("""COMPUTED_VALUE"""),"০১৯০৩৪১০১৪২")</f>
        <v>০১৯০৩৪১০১৪২</v>
      </c>
      <c r="W128" s="21" t="str">
        <f ca="1">IFERROR(__xludf.DUMMYFUNCTION("""COMPUTED_VALUE"""),"মোঃ জহুরুল হক, ")</f>
        <v xml:space="preserve">মোঃ জহুরুল হক, </v>
      </c>
      <c r="X128" s="21" t="str">
        <f ca="1">IFERROR(__xludf.DUMMYFUNCTION("""COMPUTED_VALUE"""),"০১৭৮৫৬৬২৩৩৬")</f>
        <v>০১৭৮৫৬৬২৩৩৬</v>
      </c>
      <c r="Y128" s="21"/>
      <c r="Z128" s="21"/>
      <c r="AA128" s="21"/>
      <c r="AB128" s="21"/>
      <c r="AC128" s="21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1:40" ht="15" customHeight="1" x14ac:dyDescent="0.15">
      <c r="A129" s="25"/>
      <c r="B129" s="25"/>
      <c r="C129" s="25" t="str">
        <f ca="1">IFERROR(__xludf.DUMMYFUNCTION("""COMPUTED_VALUE"""),"রংপুর")</f>
        <v>রংপুর</v>
      </c>
      <c r="D129" s="25" t="str">
        <f ca="1">IFERROR(__xludf.DUMMYFUNCTION("""COMPUTED_VALUE"""),"রংপুর")</f>
        <v>রংপুর</v>
      </c>
      <c r="E129" s="25" t="str">
        <f ca="1">IFERROR(__xludf.DUMMYFUNCTION("""COMPUTED_VALUE"""),"কুড়িগ্রাম")</f>
        <v>কুড়িগ্রাম</v>
      </c>
      <c r="F129" s="25" t="str">
        <f ca="1">IFERROR(__xludf.DUMMYFUNCTION("""COMPUTED_VALUE"""),"চর রাজিবপুর")</f>
        <v>চর রাজিবপুর</v>
      </c>
      <c r="G129" s="25"/>
      <c r="H129" s="25"/>
      <c r="I129" s="25"/>
      <c r="J129" s="25" t="str">
        <f ca="1">IFERROR(__xludf.DUMMYFUNCTION("""COMPUTED_VALUE"""),"প্রণোদনা")</f>
        <v>প্রণোদনা</v>
      </c>
      <c r="K129" s="25"/>
      <c r="L129" s="25">
        <f ca="1">IFERROR(__xludf.DUMMYFUNCTION("""COMPUTED_VALUE"""),25.45054)</f>
        <v>25.45054</v>
      </c>
      <c r="M129" s="25">
        <f ca="1">IFERROR(__xludf.DUMMYFUNCTION("""COMPUTED_VALUE"""),89.8095)</f>
        <v>89.8095</v>
      </c>
      <c r="N129" s="25"/>
      <c r="O12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9" s="25" t="str">
        <f ca="1">IFERROR(__xludf.DUMMYFUNCTION("""COMPUTED_VALUE"""),"ফলদ, বনজ")</f>
        <v>ফলদ, বনজ</v>
      </c>
      <c r="Q129" s="25">
        <f ca="1">IFERROR(__xludf.DUMMYFUNCTION("""COMPUTED_VALUE"""),5)</f>
        <v>5</v>
      </c>
      <c r="R129" s="25"/>
      <c r="S129" s="25"/>
      <c r="T129" s="25"/>
      <c r="U129" s="25" t="str">
        <f ca="1">IFERROR(__xludf.DUMMYFUNCTION("""COMPUTED_VALUE"""),"মোছাঃ রহমিা খাতুন")</f>
        <v>মোছাঃ রহমিা খাতুন</v>
      </c>
      <c r="V129" s="25" t="str">
        <f ca="1">IFERROR(__xludf.DUMMYFUNCTION("""COMPUTED_VALUE"""),"০১৭২৫২১৬৮৭৩")</f>
        <v>০১৭২৫২১৬৮৭৩</v>
      </c>
      <c r="W129" s="25" t="str">
        <f ca="1">IFERROR(__xludf.DUMMYFUNCTION("""COMPUTED_VALUE"""),"মোঃ জহুরুল হক, ")</f>
        <v xml:space="preserve">মোঃ জহুরুল হক, </v>
      </c>
      <c r="X129" s="25" t="str">
        <f ca="1">IFERROR(__xludf.DUMMYFUNCTION("""COMPUTED_VALUE"""),"০১৭৮৫৬৬২৩৩৬")</f>
        <v>০১৭৮৫৬৬২৩৩৬</v>
      </c>
      <c r="Y129" s="25"/>
      <c r="Z129" s="25"/>
      <c r="AA129" s="25"/>
      <c r="AB129" s="25"/>
      <c r="AC129" s="25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spans="1:40" ht="15" customHeight="1" x14ac:dyDescent="0.15">
      <c r="A130" s="21"/>
      <c r="B130" s="21"/>
      <c r="C130" s="21" t="str">
        <f ca="1">IFERROR(__xludf.DUMMYFUNCTION("""COMPUTED_VALUE"""),"রংপুর")</f>
        <v>রংপুর</v>
      </c>
      <c r="D130" s="21" t="str">
        <f ca="1">IFERROR(__xludf.DUMMYFUNCTION("""COMPUTED_VALUE"""),"রংপুর")</f>
        <v>রংপুর</v>
      </c>
      <c r="E130" s="21" t="str">
        <f ca="1">IFERROR(__xludf.DUMMYFUNCTION("""COMPUTED_VALUE"""),"কুড়িগ্রাম")</f>
        <v>কুড়িগ্রাম</v>
      </c>
      <c r="F130" s="21" t="str">
        <f ca="1">IFERROR(__xludf.DUMMYFUNCTION("""COMPUTED_VALUE"""),"চর রাজিবপুর")</f>
        <v>চর রাজিবপুর</v>
      </c>
      <c r="G130" s="21"/>
      <c r="H130" s="21"/>
      <c r="I130" s="21"/>
      <c r="J130" s="21" t="str">
        <f ca="1">IFERROR(__xludf.DUMMYFUNCTION("""COMPUTED_VALUE"""),"প্রণোদনা")</f>
        <v>প্রণোদনা</v>
      </c>
      <c r="K130" s="21"/>
      <c r="L130" s="21">
        <f ca="1">IFERROR(__xludf.DUMMYFUNCTION("""COMPUTED_VALUE"""),25.45053)</f>
        <v>25.450530000000001</v>
      </c>
      <c r="M130" s="21">
        <f ca="1">IFERROR(__xludf.DUMMYFUNCTION("""COMPUTED_VALUE"""),89.81024)</f>
        <v>89.810239999999993</v>
      </c>
      <c r="N130" s="21"/>
      <c r="O13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0" s="21" t="str">
        <f ca="1">IFERROR(__xludf.DUMMYFUNCTION("""COMPUTED_VALUE"""),"ফলদ, বনজ")</f>
        <v>ফলদ, বনজ</v>
      </c>
      <c r="Q130" s="21">
        <f ca="1">IFERROR(__xludf.DUMMYFUNCTION("""COMPUTED_VALUE"""),5)</f>
        <v>5</v>
      </c>
      <c r="R130" s="21"/>
      <c r="S130" s="21"/>
      <c r="T130" s="21"/>
      <c r="U130" s="21" t="str">
        <f ca="1">IFERROR(__xludf.DUMMYFUNCTION("""COMPUTED_VALUE"""),"মোছাঃ নপিা খাতুন")</f>
        <v>মোছাঃ নপিা খাতুন</v>
      </c>
      <c r="V130" s="21" t="str">
        <f ca="1">IFERROR(__xludf.DUMMYFUNCTION("""COMPUTED_VALUE"""),"০১৯৮১৮১৮৫২৫")</f>
        <v>০১৯৮১৮১৮৫২৫</v>
      </c>
      <c r="W130" s="21" t="str">
        <f ca="1">IFERROR(__xludf.DUMMYFUNCTION("""COMPUTED_VALUE"""),"মোঃ জহুরুল হক, ")</f>
        <v xml:space="preserve">মোঃ জহুরুল হক, </v>
      </c>
      <c r="X130" s="21" t="str">
        <f ca="1">IFERROR(__xludf.DUMMYFUNCTION("""COMPUTED_VALUE"""),"০১৭৮৫৬৬২৩৩৬")</f>
        <v>০১৭৮৫৬৬২৩৩৬</v>
      </c>
      <c r="Y130" s="21"/>
      <c r="Z130" s="21"/>
      <c r="AA130" s="21"/>
      <c r="AB130" s="21"/>
      <c r="AC130" s="21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 spans="1:40" ht="15" customHeight="1" x14ac:dyDescent="0.15">
      <c r="A131" s="25"/>
      <c r="B131" s="25"/>
      <c r="C131" s="25" t="str">
        <f ca="1">IFERROR(__xludf.DUMMYFUNCTION("""COMPUTED_VALUE"""),"রংপুর")</f>
        <v>রংপুর</v>
      </c>
      <c r="D131" s="25" t="str">
        <f ca="1">IFERROR(__xludf.DUMMYFUNCTION("""COMPUTED_VALUE"""),"রংপুর")</f>
        <v>রংপুর</v>
      </c>
      <c r="E131" s="25" t="str">
        <f ca="1">IFERROR(__xludf.DUMMYFUNCTION("""COMPUTED_VALUE"""),"কুড়িগ্রাম")</f>
        <v>কুড়িগ্রাম</v>
      </c>
      <c r="F131" s="25" t="str">
        <f ca="1">IFERROR(__xludf.DUMMYFUNCTION("""COMPUTED_VALUE"""),"চর রাজিবপুর")</f>
        <v>চর রাজিবপুর</v>
      </c>
      <c r="G131" s="25"/>
      <c r="H131" s="25"/>
      <c r="I131" s="25"/>
      <c r="J131" s="25" t="str">
        <f ca="1">IFERROR(__xludf.DUMMYFUNCTION("""COMPUTED_VALUE"""),"প্রণোদনা")</f>
        <v>প্রণোদনা</v>
      </c>
      <c r="K131" s="25"/>
      <c r="L131" s="25">
        <f ca="1">IFERROR(__xludf.DUMMYFUNCTION("""COMPUTED_VALUE"""),25.45067)</f>
        <v>25.450669999999999</v>
      </c>
      <c r="M131" s="25">
        <f ca="1">IFERROR(__xludf.DUMMYFUNCTION("""COMPUTED_VALUE"""),89.80996)</f>
        <v>89.809960000000004</v>
      </c>
      <c r="N131" s="25"/>
      <c r="O13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1" s="25" t="str">
        <f ca="1">IFERROR(__xludf.DUMMYFUNCTION("""COMPUTED_VALUE"""),"ফলদ, বনজ")</f>
        <v>ফলদ, বনজ</v>
      </c>
      <c r="Q131" s="25">
        <f ca="1">IFERROR(__xludf.DUMMYFUNCTION("""COMPUTED_VALUE"""),5)</f>
        <v>5</v>
      </c>
      <c r="R131" s="25"/>
      <c r="S131" s="25"/>
      <c r="T131" s="25"/>
      <c r="U131" s="25" t="str">
        <f ca="1">IFERROR(__xludf.DUMMYFUNCTION("""COMPUTED_VALUE"""),"মোছাঃ বগেম খাতুন")</f>
        <v>মোছাঃ বগেম খাতুন</v>
      </c>
      <c r="V131" s="25" t="str">
        <f ca="1">IFERROR(__xludf.DUMMYFUNCTION("""COMPUTED_VALUE"""),"০১৯২২৪৫৫৭১৮")</f>
        <v>০১৯২২৪৫৫৭১৮</v>
      </c>
      <c r="W131" s="25" t="str">
        <f ca="1">IFERROR(__xludf.DUMMYFUNCTION("""COMPUTED_VALUE"""),"মোঃ জহুরুল হক, ")</f>
        <v xml:space="preserve">মোঃ জহুরুল হক, </v>
      </c>
      <c r="X131" s="25" t="str">
        <f ca="1">IFERROR(__xludf.DUMMYFUNCTION("""COMPUTED_VALUE"""),"০১৭৮৫৬৬২৩৩৬")</f>
        <v>০১৭৮৫৬৬২৩৩৬</v>
      </c>
      <c r="Y131" s="25"/>
      <c r="Z131" s="25"/>
      <c r="AA131" s="25"/>
      <c r="AB131" s="25"/>
      <c r="AC131" s="25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spans="1:40" ht="15" customHeight="1" x14ac:dyDescent="0.15">
      <c r="A132" s="21"/>
      <c r="B132" s="21"/>
      <c r="C132" s="21" t="str">
        <f ca="1">IFERROR(__xludf.DUMMYFUNCTION("""COMPUTED_VALUE"""),"রংপুর")</f>
        <v>রংপুর</v>
      </c>
      <c r="D132" s="21" t="str">
        <f ca="1">IFERROR(__xludf.DUMMYFUNCTION("""COMPUTED_VALUE"""),"রংপুর")</f>
        <v>রংপুর</v>
      </c>
      <c r="E132" s="21" t="str">
        <f ca="1">IFERROR(__xludf.DUMMYFUNCTION("""COMPUTED_VALUE"""),"কুড়িগ্রাম")</f>
        <v>কুড়িগ্রাম</v>
      </c>
      <c r="F132" s="21" t="str">
        <f ca="1">IFERROR(__xludf.DUMMYFUNCTION("""COMPUTED_VALUE"""),"চর রাজিবপুর")</f>
        <v>চর রাজিবপুর</v>
      </c>
      <c r="G132" s="21"/>
      <c r="H132" s="21"/>
      <c r="I132" s="21"/>
      <c r="J132" s="21" t="str">
        <f ca="1">IFERROR(__xludf.DUMMYFUNCTION("""COMPUTED_VALUE"""),"প্রণোদনা")</f>
        <v>প্রণোদনা</v>
      </c>
      <c r="K132" s="21"/>
      <c r="L132" s="21">
        <f ca="1">IFERROR(__xludf.DUMMYFUNCTION("""COMPUTED_VALUE"""),25.50175)</f>
        <v>25.501750000000001</v>
      </c>
      <c r="M132" s="21">
        <f ca="1">IFERROR(__xludf.DUMMYFUNCTION("""COMPUTED_VALUE"""),89.76284)</f>
        <v>89.762839999999997</v>
      </c>
      <c r="N132" s="21"/>
      <c r="O13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2" s="21" t="str">
        <f ca="1">IFERROR(__xludf.DUMMYFUNCTION("""COMPUTED_VALUE"""),"ফলদ, বনজ")</f>
        <v>ফলদ, বনজ</v>
      </c>
      <c r="Q132" s="21">
        <f ca="1">IFERROR(__xludf.DUMMYFUNCTION("""COMPUTED_VALUE"""),5)</f>
        <v>5</v>
      </c>
      <c r="R132" s="21"/>
      <c r="S132" s="21"/>
      <c r="T132" s="21"/>
      <c r="U132" s="21" t="str">
        <f ca="1">IFERROR(__xludf.DUMMYFUNCTION("""COMPUTED_VALUE"""),"মোঃ আব্দুল্লাহ")</f>
        <v>মোঃ আব্দুল্লাহ</v>
      </c>
      <c r="V132" s="21" t="str">
        <f ca="1">IFERROR(__xludf.DUMMYFUNCTION("""COMPUTED_VALUE"""),"০১৭৯২৭৭০৮২৩")</f>
        <v>০১৭৯২৭৭০৮২৩</v>
      </c>
      <c r="W132" s="21" t="str">
        <f ca="1">IFERROR(__xludf.DUMMYFUNCTION("""COMPUTED_VALUE"""),"হাফিজা খাতুন")</f>
        <v>হাফিজা খাতুন</v>
      </c>
      <c r="X132" s="21" t="str">
        <f ca="1">IFERROR(__xludf.DUMMYFUNCTION("""COMPUTED_VALUE"""),"১৯৮৩৬২২২৭৫")</f>
        <v>১৯৮৩৬২২২৭৫</v>
      </c>
      <c r="Y132" s="21"/>
      <c r="Z132" s="21"/>
      <c r="AA132" s="21"/>
      <c r="AB132" s="21"/>
      <c r="AC132" s="21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 spans="1:40" ht="15" customHeight="1" x14ac:dyDescent="0.15">
      <c r="A133" s="25"/>
      <c r="B133" s="25"/>
      <c r="C133" s="25" t="str">
        <f ca="1">IFERROR(__xludf.DUMMYFUNCTION("""COMPUTED_VALUE"""),"রংপুর")</f>
        <v>রংপুর</v>
      </c>
      <c r="D133" s="25" t="str">
        <f ca="1">IFERROR(__xludf.DUMMYFUNCTION("""COMPUTED_VALUE"""),"রংপুর")</f>
        <v>রংপুর</v>
      </c>
      <c r="E133" s="25" t="str">
        <f ca="1">IFERROR(__xludf.DUMMYFUNCTION("""COMPUTED_VALUE"""),"কুড়িগ্রাম")</f>
        <v>কুড়িগ্রাম</v>
      </c>
      <c r="F133" s="25" t="str">
        <f ca="1">IFERROR(__xludf.DUMMYFUNCTION("""COMPUTED_VALUE"""),"চর রাজিবপুর")</f>
        <v>চর রাজিবপুর</v>
      </c>
      <c r="G133" s="25"/>
      <c r="H133" s="25"/>
      <c r="I133" s="25"/>
      <c r="J133" s="25" t="str">
        <f ca="1">IFERROR(__xludf.DUMMYFUNCTION("""COMPUTED_VALUE"""),"প্রণোদনা")</f>
        <v>প্রণোদনা</v>
      </c>
      <c r="K133" s="25"/>
      <c r="L133" s="25">
        <f ca="1">IFERROR(__xludf.DUMMYFUNCTION("""COMPUTED_VALUE"""),25.50164)</f>
        <v>25.501639999999998</v>
      </c>
      <c r="M133" s="25">
        <f ca="1">IFERROR(__xludf.DUMMYFUNCTION("""COMPUTED_VALUE"""),89.76285)</f>
        <v>89.76285</v>
      </c>
      <c r="N133" s="25"/>
      <c r="O13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3" s="25" t="str">
        <f ca="1">IFERROR(__xludf.DUMMYFUNCTION("""COMPUTED_VALUE"""),"ফলদ, বনজ")</f>
        <v>ফলদ, বনজ</v>
      </c>
      <c r="Q133" s="25">
        <f ca="1">IFERROR(__xludf.DUMMYFUNCTION("""COMPUTED_VALUE"""),5)</f>
        <v>5</v>
      </c>
      <c r="R133" s="25"/>
      <c r="S133" s="25"/>
      <c r="T133" s="25"/>
      <c r="U133" s="25" t="str">
        <f ca="1">IFERROR(__xludf.DUMMYFUNCTION("""COMPUTED_VALUE"""),"মোঃ রফিকুল ইসলাম")</f>
        <v>মোঃ রফিকুল ইসলাম</v>
      </c>
      <c r="V133" s="25" t="str">
        <f ca="1">IFERROR(__xludf.DUMMYFUNCTION("""COMPUTED_VALUE"""),"০১৭০৩৩৪২১০৩")</f>
        <v>০১৭০৩৩৪২১০৩</v>
      </c>
      <c r="W133" s="25" t="str">
        <f ca="1">IFERROR(__xludf.DUMMYFUNCTION("""COMPUTED_VALUE"""),"হাফিজা খাতুন")</f>
        <v>হাফিজা খাতুন</v>
      </c>
      <c r="X133" s="25" t="str">
        <f ca="1">IFERROR(__xludf.DUMMYFUNCTION("""COMPUTED_VALUE"""),"১৯৮৩৬২২২৭৫")</f>
        <v>১৯৮৩৬২২২৭৫</v>
      </c>
      <c r="Y133" s="25"/>
      <c r="Z133" s="25"/>
      <c r="AA133" s="25"/>
      <c r="AB133" s="25"/>
      <c r="AC133" s="25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spans="1:40" ht="15" customHeight="1" x14ac:dyDescent="0.15">
      <c r="A134" s="21"/>
      <c r="B134" s="21"/>
      <c r="C134" s="21" t="str">
        <f ca="1">IFERROR(__xludf.DUMMYFUNCTION("""COMPUTED_VALUE"""),"রংপুর")</f>
        <v>রংপুর</v>
      </c>
      <c r="D134" s="21" t="str">
        <f ca="1">IFERROR(__xludf.DUMMYFUNCTION("""COMPUTED_VALUE"""),"রংপুর")</f>
        <v>রংপুর</v>
      </c>
      <c r="E134" s="21" t="str">
        <f ca="1">IFERROR(__xludf.DUMMYFUNCTION("""COMPUTED_VALUE"""),"কুড়িগ্রাম")</f>
        <v>কুড়িগ্রাম</v>
      </c>
      <c r="F134" s="21" t="str">
        <f ca="1">IFERROR(__xludf.DUMMYFUNCTION("""COMPUTED_VALUE"""),"চর রাজিবপুর")</f>
        <v>চর রাজিবপুর</v>
      </c>
      <c r="G134" s="21"/>
      <c r="H134" s="21"/>
      <c r="I134" s="21"/>
      <c r="J134" s="21" t="str">
        <f ca="1">IFERROR(__xludf.DUMMYFUNCTION("""COMPUTED_VALUE"""),"প্রণোদনা")</f>
        <v>প্রণোদনা</v>
      </c>
      <c r="K134" s="21"/>
      <c r="L134" s="21">
        <f ca="1">IFERROR(__xludf.DUMMYFUNCTION("""COMPUTED_VALUE"""),25.50169)</f>
        <v>25.50169</v>
      </c>
      <c r="M134" s="21">
        <f ca="1">IFERROR(__xludf.DUMMYFUNCTION("""COMPUTED_VALUE"""),89.763)</f>
        <v>89.763000000000005</v>
      </c>
      <c r="N134" s="21"/>
      <c r="O13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4" s="21" t="str">
        <f ca="1">IFERROR(__xludf.DUMMYFUNCTION("""COMPUTED_VALUE"""),"ফলদ, বনজ")</f>
        <v>ফলদ, বনজ</v>
      </c>
      <c r="Q134" s="21">
        <f ca="1">IFERROR(__xludf.DUMMYFUNCTION("""COMPUTED_VALUE"""),5)</f>
        <v>5</v>
      </c>
      <c r="R134" s="21"/>
      <c r="S134" s="21"/>
      <c r="T134" s="21"/>
      <c r="U134" s="21" t="str">
        <f ca="1">IFERROR(__xludf.DUMMYFUNCTION("""COMPUTED_VALUE"""),"মোঃ আবু সাইদ")</f>
        <v>মোঃ আবু সাইদ</v>
      </c>
      <c r="V134" s="21" t="str">
        <f ca="1">IFERROR(__xludf.DUMMYFUNCTION("""COMPUTED_VALUE"""),"০১৬৪৮৭৭৯০৩৬")</f>
        <v>০১৬৪৮৭৭৯০৩৬</v>
      </c>
      <c r="W134" s="21" t="str">
        <f ca="1">IFERROR(__xludf.DUMMYFUNCTION("""COMPUTED_VALUE"""),"হাফিজা খাতুন")</f>
        <v>হাফিজা খাতুন</v>
      </c>
      <c r="X134" s="21" t="str">
        <f ca="1">IFERROR(__xludf.DUMMYFUNCTION("""COMPUTED_VALUE"""),"১৯৮৩৬২২২৭৫")</f>
        <v>১৯৮৩৬২২২৭৫</v>
      </c>
      <c r="Y134" s="21"/>
      <c r="Z134" s="21"/>
      <c r="AA134" s="21"/>
      <c r="AB134" s="21"/>
      <c r="AC134" s="21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 spans="1:40" ht="15" customHeight="1" x14ac:dyDescent="0.15">
      <c r="A135" s="25"/>
      <c r="B135" s="25"/>
      <c r="C135" s="25" t="str">
        <f ca="1">IFERROR(__xludf.DUMMYFUNCTION("""COMPUTED_VALUE"""),"রংপুর")</f>
        <v>রংপুর</v>
      </c>
      <c r="D135" s="25" t="str">
        <f ca="1">IFERROR(__xludf.DUMMYFUNCTION("""COMPUTED_VALUE"""),"রংপুর")</f>
        <v>রংপুর</v>
      </c>
      <c r="E135" s="25" t="str">
        <f ca="1">IFERROR(__xludf.DUMMYFUNCTION("""COMPUTED_VALUE"""),"কুড়িগ্রাম")</f>
        <v>কুড়িগ্রাম</v>
      </c>
      <c r="F135" s="25" t="str">
        <f ca="1">IFERROR(__xludf.DUMMYFUNCTION("""COMPUTED_VALUE"""),"চর রাজিবপুর")</f>
        <v>চর রাজিবপুর</v>
      </c>
      <c r="G135" s="25"/>
      <c r="H135" s="25"/>
      <c r="I135" s="25"/>
      <c r="J135" s="25" t="str">
        <f ca="1">IFERROR(__xludf.DUMMYFUNCTION("""COMPUTED_VALUE"""),"প্রণোদনা")</f>
        <v>প্রণোদনা</v>
      </c>
      <c r="K135" s="25"/>
      <c r="L135" s="25">
        <f ca="1">IFERROR(__xludf.DUMMYFUNCTION("""COMPUTED_VALUE"""),25.50172)</f>
        <v>25.501719999999999</v>
      </c>
      <c r="M135" s="25">
        <f ca="1">IFERROR(__xludf.DUMMYFUNCTION("""COMPUTED_VALUE"""),89.76337)</f>
        <v>89.763369999999995</v>
      </c>
      <c r="N135" s="25"/>
      <c r="O13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5" s="25" t="str">
        <f ca="1">IFERROR(__xludf.DUMMYFUNCTION("""COMPUTED_VALUE"""),"ফলদ, বনজ")</f>
        <v>ফলদ, বনজ</v>
      </c>
      <c r="Q135" s="25">
        <f ca="1">IFERROR(__xludf.DUMMYFUNCTION("""COMPUTED_VALUE"""),5)</f>
        <v>5</v>
      </c>
      <c r="R135" s="25"/>
      <c r="S135" s="25"/>
      <c r="T135" s="25"/>
      <c r="U135" s="25" t="str">
        <f ca="1">IFERROR(__xludf.DUMMYFUNCTION("""COMPUTED_VALUE"""),"মোঃ আরিফুল ইসলাম")</f>
        <v>মোঃ আরিফুল ইসলাম</v>
      </c>
      <c r="V135" s="25" t="str">
        <f ca="1">IFERROR(__xludf.DUMMYFUNCTION("""COMPUTED_VALUE"""),"০১৭৮৮২৩৬৮১৬")</f>
        <v>০১৭৮৮২৩৬৮১৬</v>
      </c>
      <c r="W135" s="25" t="str">
        <f ca="1">IFERROR(__xludf.DUMMYFUNCTION("""COMPUTED_VALUE"""),"হাফিজা খাতুন")</f>
        <v>হাফিজা খাতুন</v>
      </c>
      <c r="X135" s="25" t="str">
        <f ca="1">IFERROR(__xludf.DUMMYFUNCTION("""COMPUTED_VALUE"""),"১৯৮৩৬২২২৭৫")</f>
        <v>১৯৮৩৬২২২৭৫</v>
      </c>
      <c r="Y135" s="25"/>
      <c r="Z135" s="25"/>
      <c r="AA135" s="25"/>
      <c r="AB135" s="25"/>
      <c r="AC135" s="25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spans="1:40" ht="15" customHeight="1" x14ac:dyDescent="0.15">
      <c r="A136" s="21"/>
      <c r="B136" s="21"/>
      <c r="C136" s="21" t="str">
        <f ca="1">IFERROR(__xludf.DUMMYFUNCTION("""COMPUTED_VALUE"""),"রংপুর")</f>
        <v>রংপুর</v>
      </c>
      <c r="D136" s="21" t="str">
        <f ca="1">IFERROR(__xludf.DUMMYFUNCTION("""COMPUTED_VALUE"""),"রংপুর")</f>
        <v>রংপুর</v>
      </c>
      <c r="E136" s="21" t="str">
        <f ca="1">IFERROR(__xludf.DUMMYFUNCTION("""COMPUTED_VALUE"""),"কুড়িগ্রাম")</f>
        <v>কুড়িগ্রাম</v>
      </c>
      <c r="F136" s="21" t="str">
        <f ca="1">IFERROR(__xludf.DUMMYFUNCTION("""COMPUTED_VALUE"""),"চর রাজিবপুর")</f>
        <v>চর রাজিবপুর</v>
      </c>
      <c r="G136" s="21"/>
      <c r="H136" s="21"/>
      <c r="I136" s="21"/>
      <c r="J136" s="21" t="str">
        <f ca="1">IFERROR(__xludf.DUMMYFUNCTION("""COMPUTED_VALUE"""),"প্রণোদনা")</f>
        <v>প্রণোদনা</v>
      </c>
      <c r="K136" s="21"/>
      <c r="L136" s="21">
        <f ca="1">IFERROR(__xludf.DUMMYFUNCTION("""COMPUTED_VALUE"""),25.50195)</f>
        <v>25.501950000000001</v>
      </c>
      <c r="M136" s="21">
        <f ca="1">IFERROR(__xludf.DUMMYFUNCTION("""COMPUTED_VALUE"""),89.76439)</f>
        <v>89.764390000000006</v>
      </c>
      <c r="N136" s="21"/>
      <c r="O13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6" s="21" t="str">
        <f ca="1">IFERROR(__xludf.DUMMYFUNCTION("""COMPUTED_VALUE"""),"ফলদ, বনজ")</f>
        <v>ফলদ, বনজ</v>
      </c>
      <c r="Q136" s="21">
        <f ca="1">IFERROR(__xludf.DUMMYFUNCTION("""COMPUTED_VALUE"""),5)</f>
        <v>5</v>
      </c>
      <c r="R136" s="21"/>
      <c r="S136" s="21"/>
      <c r="T136" s="21"/>
      <c r="U136" s="21" t="str">
        <f ca="1">IFERROR(__xludf.DUMMYFUNCTION("""COMPUTED_VALUE"""),"মোঃ নুর হোসেন")</f>
        <v>মোঃ নুর হোসেন</v>
      </c>
      <c r="V136" s="21" t="str">
        <f ca="1">IFERROR(__xludf.DUMMYFUNCTION("""COMPUTED_VALUE"""),"০১৯৭১৭৪৫৭৫৭")</f>
        <v>০১৯৭১৭৪৫৭৫৭</v>
      </c>
      <c r="W136" s="21" t="str">
        <f ca="1">IFERROR(__xludf.DUMMYFUNCTION("""COMPUTED_VALUE"""),"হাফিজা খাতুন")</f>
        <v>হাফিজা খাতুন</v>
      </c>
      <c r="X136" s="21" t="str">
        <f ca="1">IFERROR(__xludf.DUMMYFUNCTION("""COMPUTED_VALUE"""),"১৯৮৩৬২২২৭৫")</f>
        <v>১৯৮৩৬২২২৭৫</v>
      </c>
      <c r="Y136" s="21"/>
      <c r="Z136" s="21"/>
      <c r="AA136" s="21"/>
      <c r="AB136" s="21"/>
      <c r="AC136" s="21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 spans="1:40" ht="15" customHeight="1" x14ac:dyDescent="0.15">
      <c r="A137" s="25"/>
      <c r="B137" s="25"/>
      <c r="C137" s="25" t="str">
        <f ca="1">IFERROR(__xludf.DUMMYFUNCTION("""COMPUTED_VALUE"""),"রংপুর")</f>
        <v>রংপুর</v>
      </c>
      <c r="D137" s="25" t="str">
        <f ca="1">IFERROR(__xludf.DUMMYFUNCTION("""COMPUTED_VALUE"""),"রংপুর")</f>
        <v>রংপুর</v>
      </c>
      <c r="E137" s="25" t="str">
        <f ca="1">IFERROR(__xludf.DUMMYFUNCTION("""COMPUTED_VALUE"""),"কুড়িগ্রাম")</f>
        <v>কুড়িগ্রাম</v>
      </c>
      <c r="F137" s="25" t="str">
        <f ca="1">IFERROR(__xludf.DUMMYFUNCTION("""COMPUTED_VALUE"""),"চর রাজিবপুর")</f>
        <v>চর রাজিবপুর</v>
      </c>
      <c r="G137" s="25"/>
      <c r="H137" s="25"/>
      <c r="I137" s="25"/>
      <c r="J137" s="25" t="str">
        <f ca="1">IFERROR(__xludf.DUMMYFUNCTION("""COMPUTED_VALUE"""),"প্রণোদনা")</f>
        <v>প্রণোদনা</v>
      </c>
      <c r="K137" s="25"/>
      <c r="L137" s="25">
        <f ca="1">IFERROR(__xludf.DUMMYFUNCTION("""COMPUTED_VALUE"""),25.50191)</f>
        <v>25.501909999999999</v>
      </c>
      <c r="M137" s="25">
        <f ca="1">IFERROR(__xludf.DUMMYFUNCTION("""COMPUTED_VALUE"""),89.76519)</f>
        <v>89.765190000000004</v>
      </c>
      <c r="N137" s="25"/>
      <c r="O13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7" s="25" t="str">
        <f ca="1">IFERROR(__xludf.DUMMYFUNCTION("""COMPUTED_VALUE"""),"ফলদ, বনজ")</f>
        <v>ফলদ, বনজ</v>
      </c>
      <c r="Q137" s="25">
        <f ca="1">IFERROR(__xludf.DUMMYFUNCTION("""COMPUTED_VALUE"""),5)</f>
        <v>5</v>
      </c>
      <c r="R137" s="25"/>
      <c r="S137" s="25"/>
      <c r="T137" s="25"/>
      <c r="U137" s="25" t="str">
        <f ca="1">IFERROR(__xludf.DUMMYFUNCTION("""COMPUTED_VALUE"""),"মোঃ ডাইভার হোসেন")</f>
        <v>মোঃ ডাইভার হোসেন</v>
      </c>
      <c r="V137" s="25" t="str">
        <f ca="1">IFERROR(__xludf.DUMMYFUNCTION("""COMPUTED_VALUE"""),"০১৬২৪২৭৮৪১২")</f>
        <v>০১৬২৪২৭৮৪১২</v>
      </c>
      <c r="W137" s="25" t="str">
        <f ca="1">IFERROR(__xludf.DUMMYFUNCTION("""COMPUTED_VALUE"""),"হাফিজা খাতুন")</f>
        <v>হাফিজা খাতুন</v>
      </c>
      <c r="X137" s="25" t="str">
        <f ca="1">IFERROR(__xludf.DUMMYFUNCTION("""COMPUTED_VALUE"""),"১৯৮৩৬২২২৭৫")</f>
        <v>১৯৮৩৬২২২৭৫</v>
      </c>
      <c r="Y137" s="25"/>
      <c r="Z137" s="25"/>
      <c r="AA137" s="25"/>
      <c r="AB137" s="25"/>
      <c r="AC137" s="25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spans="1:40" ht="15" customHeight="1" x14ac:dyDescent="0.15">
      <c r="A138" s="21"/>
      <c r="B138" s="21"/>
      <c r="C138" s="21" t="str">
        <f ca="1">IFERROR(__xludf.DUMMYFUNCTION("""COMPUTED_VALUE"""),"রংপুর")</f>
        <v>রংপুর</v>
      </c>
      <c r="D138" s="21" t="str">
        <f ca="1">IFERROR(__xludf.DUMMYFUNCTION("""COMPUTED_VALUE"""),"রংপুর")</f>
        <v>রংপুর</v>
      </c>
      <c r="E138" s="21" t="str">
        <f ca="1">IFERROR(__xludf.DUMMYFUNCTION("""COMPUTED_VALUE"""),"কুড়িগ্রাম")</f>
        <v>কুড়িগ্রাম</v>
      </c>
      <c r="F138" s="21" t="str">
        <f ca="1">IFERROR(__xludf.DUMMYFUNCTION("""COMPUTED_VALUE"""),"চর রাজিবপুর")</f>
        <v>চর রাজিবপুর</v>
      </c>
      <c r="G138" s="21"/>
      <c r="H138" s="21"/>
      <c r="I138" s="21"/>
      <c r="J138" s="21" t="str">
        <f ca="1">IFERROR(__xludf.DUMMYFUNCTION("""COMPUTED_VALUE"""),"প্রণোদনা")</f>
        <v>প্রণোদনা</v>
      </c>
      <c r="K138" s="21"/>
      <c r="L138" s="21">
        <f ca="1">IFERROR(__xludf.DUMMYFUNCTION("""COMPUTED_VALUE"""),25.50213)</f>
        <v>25.502130000000001</v>
      </c>
      <c r="M138" s="21">
        <f ca="1">IFERROR(__xludf.DUMMYFUNCTION("""COMPUTED_VALUE"""),89.76598)</f>
        <v>89.765979999999999</v>
      </c>
      <c r="N138" s="21"/>
      <c r="O13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8" s="21" t="str">
        <f ca="1">IFERROR(__xludf.DUMMYFUNCTION("""COMPUTED_VALUE"""),"ফলদ, বনজ")</f>
        <v>ফলদ, বনজ</v>
      </c>
      <c r="Q138" s="21">
        <f ca="1">IFERROR(__xludf.DUMMYFUNCTION("""COMPUTED_VALUE"""),5)</f>
        <v>5</v>
      </c>
      <c r="R138" s="21"/>
      <c r="S138" s="21"/>
      <c r="T138" s="21"/>
      <c r="U138" s="21" t="str">
        <f ca="1">IFERROR(__xludf.DUMMYFUNCTION("""COMPUTED_VALUE"""),"মোঃ মানিক মিয়া")</f>
        <v>মোঃ মানিক মিয়া</v>
      </c>
      <c r="V138" s="21" t="str">
        <f ca="1">IFERROR(__xludf.DUMMYFUNCTION("""COMPUTED_VALUE"""),"০১৩২০৫৪৫৮০৪")</f>
        <v>০১৩২০৫৪৫৮০৪</v>
      </c>
      <c r="W138" s="21" t="str">
        <f ca="1">IFERROR(__xludf.DUMMYFUNCTION("""COMPUTED_VALUE"""),"হাফিজা খাতুন")</f>
        <v>হাফিজা খাতুন</v>
      </c>
      <c r="X138" s="21" t="str">
        <f ca="1">IFERROR(__xludf.DUMMYFUNCTION("""COMPUTED_VALUE"""),"১৯৮৩৬২২২৭৫")</f>
        <v>১৯৮৩৬২২২৭৫</v>
      </c>
      <c r="Y138" s="21"/>
      <c r="Z138" s="21"/>
      <c r="AA138" s="21"/>
      <c r="AB138" s="21"/>
      <c r="AC138" s="21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 spans="1:40" ht="15" customHeight="1" x14ac:dyDescent="0.15">
      <c r="A139" s="25"/>
      <c r="B139" s="25"/>
      <c r="C139" s="25" t="str">
        <f ca="1">IFERROR(__xludf.DUMMYFUNCTION("""COMPUTED_VALUE"""),"রংপুর")</f>
        <v>রংপুর</v>
      </c>
      <c r="D139" s="25" t="str">
        <f ca="1">IFERROR(__xludf.DUMMYFUNCTION("""COMPUTED_VALUE"""),"রংপুর")</f>
        <v>রংপুর</v>
      </c>
      <c r="E139" s="25" t="str">
        <f ca="1">IFERROR(__xludf.DUMMYFUNCTION("""COMPUTED_VALUE"""),"কুড়িগ্রাম")</f>
        <v>কুড়িগ্রাম</v>
      </c>
      <c r="F139" s="25" t="str">
        <f ca="1">IFERROR(__xludf.DUMMYFUNCTION("""COMPUTED_VALUE"""),"চর রাজিবপুর")</f>
        <v>চর রাজিবপুর</v>
      </c>
      <c r="G139" s="25"/>
      <c r="H139" s="25"/>
      <c r="I139" s="25"/>
      <c r="J139" s="25" t="str">
        <f ca="1">IFERROR(__xludf.DUMMYFUNCTION("""COMPUTED_VALUE"""),"প্রণোদনা")</f>
        <v>প্রণোদনা</v>
      </c>
      <c r="K139" s="25"/>
      <c r="L139" s="25">
        <f ca="1">IFERROR(__xludf.DUMMYFUNCTION("""COMPUTED_VALUE"""),25.50236)</f>
        <v>25.502359999999999</v>
      </c>
      <c r="M139" s="25">
        <f ca="1">IFERROR(__xludf.DUMMYFUNCTION("""COMPUTED_VALUE"""),89.76604)</f>
        <v>89.766040000000004</v>
      </c>
      <c r="N139" s="25"/>
      <c r="O13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9" s="25" t="str">
        <f ca="1">IFERROR(__xludf.DUMMYFUNCTION("""COMPUTED_VALUE"""),"ফলদ, বনজ")</f>
        <v>ফলদ, বনজ</v>
      </c>
      <c r="Q139" s="25">
        <f ca="1">IFERROR(__xludf.DUMMYFUNCTION("""COMPUTED_VALUE"""),5)</f>
        <v>5</v>
      </c>
      <c r="R139" s="25"/>
      <c r="S139" s="25"/>
      <c r="T139" s="25"/>
      <c r="U139" s="25" t="str">
        <f ca="1">IFERROR(__xludf.DUMMYFUNCTION("""COMPUTED_VALUE"""),"মোছাঃ রমেছা খাতুন")</f>
        <v>মোছাঃ রমেছা খাতুন</v>
      </c>
      <c r="V139" s="25" t="str">
        <f ca="1">IFERROR(__xludf.DUMMYFUNCTION("""COMPUTED_VALUE"""),"০১৪০৬৬৭৬১৬৫")</f>
        <v>০১৪০৬৬৭৬১৬৫</v>
      </c>
      <c r="W139" s="25" t="str">
        <f ca="1">IFERROR(__xludf.DUMMYFUNCTION("""COMPUTED_VALUE"""),"হাফিজা খাতুন")</f>
        <v>হাফিজা খাতুন</v>
      </c>
      <c r="X139" s="25" t="str">
        <f ca="1">IFERROR(__xludf.DUMMYFUNCTION("""COMPUTED_VALUE"""),"১৯৮৩৬২২২৭৫")</f>
        <v>১৯৮৩৬২২২৭৫</v>
      </c>
      <c r="Y139" s="25"/>
      <c r="Z139" s="25"/>
      <c r="AA139" s="25"/>
      <c r="AB139" s="25"/>
      <c r="AC139" s="25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spans="1:40" ht="15" customHeight="1" x14ac:dyDescent="0.15">
      <c r="A140" s="21"/>
      <c r="B140" s="21"/>
      <c r="C140" s="21" t="str">
        <f ca="1">IFERROR(__xludf.DUMMYFUNCTION("""COMPUTED_VALUE"""),"রংপুর")</f>
        <v>রংপুর</v>
      </c>
      <c r="D140" s="21" t="str">
        <f ca="1">IFERROR(__xludf.DUMMYFUNCTION("""COMPUTED_VALUE"""),"রংপুর")</f>
        <v>রংপুর</v>
      </c>
      <c r="E140" s="21" t="str">
        <f ca="1">IFERROR(__xludf.DUMMYFUNCTION("""COMPUTED_VALUE"""),"কুড়িগ্রাম")</f>
        <v>কুড়িগ্রাম</v>
      </c>
      <c r="F140" s="21" t="str">
        <f ca="1">IFERROR(__xludf.DUMMYFUNCTION("""COMPUTED_VALUE"""),"চর রাজিবপুর")</f>
        <v>চর রাজিবপুর</v>
      </c>
      <c r="G140" s="21"/>
      <c r="H140" s="21"/>
      <c r="I140" s="21"/>
      <c r="J140" s="21" t="str">
        <f ca="1">IFERROR(__xludf.DUMMYFUNCTION("""COMPUTED_VALUE"""),"প্রণোদনা")</f>
        <v>প্রণোদনা</v>
      </c>
      <c r="K140" s="21"/>
      <c r="L140" s="21">
        <f ca="1">IFERROR(__xludf.DUMMYFUNCTION("""COMPUTED_VALUE"""),25.502276)</f>
        <v>25.502275999999998</v>
      </c>
      <c r="M140" s="21">
        <f ca="1">IFERROR(__xludf.DUMMYFUNCTION("""COMPUTED_VALUE"""),89.76636)</f>
        <v>89.766360000000006</v>
      </c>
      <c r="N140" s="21"/>
      <c r="O14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0" s="21" t="str">
        <f ca="1">IFERROR(__xludf.DUMMYFUNCTION("""COMPUTED_VALUE"""),"ফলদ, বনজ")</f>
        <v>ফলদ, বনজ</v>
      </c>
      <c r="Q140" s="21">
        <f ca="1">IFERROR(__xludf.DUMMYFUNCTION("""COMPUTED_VALUE"""),5)</f>
        <v>5</v>
      </c>
      <c r="R140" s="21"/>
      <c r="S140" s="21"/>
      <c r="T140" s="21"/>
      <c r="U140" s="21" t="str">
        <f ca="1">IFERROR(__xludf.DUMMYFUNCTION("""COMPUTED_VALUE"""),"মোঃ শাহ আলম")</f>
        <v>মোঃ শাহ আলম</v>
      </c>
      <c r="V140" s="21" t="str">
        <f ca="1">IFERROR(__xludf.DUMMYFUNCTION("""COMPUTED_VALUE"""),"০১৭৪১৭৩২৬৭৩")</f>
        <v>০১৭৪১৭৩২৬৭৩</v>
      </c>
      <c r="W140" s="21" t="str">
        <f ca="1">IFERROR(__xludf.DUMMYFUNCTION("""COMPUTED_VALUE"""),"হাফিজা খাতুন")</f>
        <v>হাফিজা খাতুন</v>
      </c>
      <c r="X140" s="21" t="str">
        <f ca="1">IFERROR(__xludf.DUMMYFUNCTION("""COMPUTED_VALUE"""),"১৯৮৩৬২২২৭৫")</f>
        <v>১৯৮৩৬২২২৭৫</v>
      </c>
      <c r="Y140" s="21"/>
      <c r="Z140" s="21"/>
      <c r="AA140" s="21"/>
      <c r="AB140" s="21"/>
      <c r="AC140" s="21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 spans="1:40" ht="15" customHeight="1" x14ac:dyDescent="0.15">
      <c r="A141" s="25"/>
      <c r="B141" s="25"/>
      <c r="C141" s="25" t="str">
        <f ca="1">IFERROR(__xludf.DUMMYFUNCTION("""COMPUTED_VALUE"""),"রংপুর")</f>
        <v>রংপুর</v>
      </c>
      <c r="D141" s="25" t="str">
        <f ca="1">IFERROR(__xludf.DUMMYFUNCTION("""COMPUTED_VALUE"""),"রংপুর")</f>
        <v>রংপুর</v>
      </c>
      <c r="E141" s="25" t="str">
        <f ca="1">IFERROR(__xludf.DUMMYFUNCTION("""COMPUTED_VALUE"""),"কুড়িগ্রাম")</f>
        <v>কুড়িগ্রাম</v>
      </c>
      <c r="F141" s="25" t="str">
        <f ca="1">IFERROR(__xludf.DUMMYFUNCTION("""COMPUTED_VALUE"""),"চর রাজিবপুর")</f>
        <v>চর রাজিবপুর</v>
      </c>
      <c r="G141" s="25"/>
      <c r="H141" s="25"/>
      <c r="I141" s="25"/>
      <c r="J141" s="25" t="str">
        <f ca="1">IFERROR(__xludf.DUMMYFUNCTION("""COMPUTED_VALUE"""),"প্রণোদনা")</f>
        <v>প্রণোদনা</v>
      </c>
      <c r="K141" s="25"/>
      <c r="L141" s="25">
        <f ca="1">IFERROR(__xludf.DUMMYFUNCTION("""COMPUTED_VALUE"""),25.50222)</f>
        <v>25.502220000000001</v>
      </c>
      <c r="M141" s="25">
        <f ca="1">IFERROR(__xludf.DUMMYFUNCTION("""COMPUTED_VALUE"""),89.76642)</f>
        <v>89.766419999999997</v>
      </c>
      <c r="N141" s="25"/>
      <c r="O14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1" s="25" t="str">
        <f ca="1">IFERROR(__xludf.DUMMYFUNCTION("""COMPUTED_VALUE"""),"ফলদ, বনজ")</f>
        <v>ফলদ, বনজ</v>
      </c>
      <c r="Q141" s="25">
        <f ca="1">IFERROR(__xludf.DUMMYFUNCTION("""COMPUTED_VALUE"""),5)</f>
        <v>5</v>
      </c>
      <c r="R141" s="25"/>
      <c r="S141" s="25"/>
      <c r="T141" s="25"/>
      <c r="U141" s="25" t="str">
        <f ca="1">IFERROR(__xludf.DUMMYFUNCTION("""COMPUTED_VALUE"""),"মোঃ ফরিজল হক")</f>
        <v>মোঃ ফরিজল হক</v>
      </c>
      <c r="V141" s="25" t="str">
        <f ca="1">IFERROR(__xludf.DUMMYFUNCTION("""COMPUTED_VALUE"""),"০১৯০৭৯২৩৩৪১")</f>
        <v>০১৯০৭৯২৩৩৪১</v>
      </c>
      <c r="W141" s="25" t="str">
        <f ca="1">IFERROR(__xludf.DUMMYFUNCTION("""COMPUTED_VALUE"""),"হাফিজা খাতুন")</f>
        <v>হাফিজা খাতুন</v>
      </c>
      <c r="X141" s="25" t="str">
        <f ca="1">IFERROR(__xludf.DUMMYFUNCTION("""COMPUTED_VALUE"""),"১৯৮৩৬২২২৭৫")</f>
        <v>১৯৮৩৬২২২৭৫</v>
      </c>
      <c r="Y141" s="25"/>
      <c r="Z141" s="25"/>
      <c r="AA141" s="25"/>
      <c r="AB141" s="25"/>
      <c r="AC141" s="25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spans="1:40" ht="15" customHeight="1" x14ac:dyDescent="0.15">
      <c r="A142" s="21"/>
      <c r="B142" s="21"/>
      <c r="C142" s="21" t="str">
        <f ca="1">IFERROR(__xludf.DUMMYFUNCTION("""COMPUTED_VALUE"""),"রংপুর")</f>
        <v>রংপুর</v>
      </c>
      <c r="D142" s="21" t="str">
        <f ca="1">IFERROR(__xludf.DUMMYFUNCTION("""COMPUTED_VALUE"""),"রংপুর")</f>
        <v>রংপুর</v>
      </c>
      <c r="E142" s="21" t="str">
        <f ca="1">IFERROR(__xludf.DUMMYFUNCTION("""COMPUTED_VALUE"""),"কুড়িগ্রাম")</f>
        <v>কুড়িগ্রাম</v>
      </c>
      <c r="F142" s="21" t="str">
        <f ca="1">IFERROR(__xludf.DUMMYFUNCTION("""COMPUTED_VALUE"""),"চর রাজিবপুর")</f>
        <v>চর রাজিবপুর</v>
      </c>
      <c r="G142" s="21"/>
      <c r="H142" s="21"/>
      <c r="I142" s="21"/>
      <c r="J142" s="21" t="str">
        <f ca="1">IFERROR(__xludf.DUMMYFUNCTION("""COMPUTED_VALUE"""),"প্রণোদনা")</f>
        <v>প্রণোদনা</v>
      </c>
      <c r="K142" s="21"/>
      <c r="L142" s="21">
        <f ca="1">IFERROR(__xludf.DUMMYFUNCTION("""COMPUTED_VALUE"""),25.49762)</f>
        <v>25.497620000000001</v>
      </c>
      <c r="M142" s="21">
        <f ca="1">IFERROR(__xludf.DUMMYFUNCTION("""COMPUTED_VALUE"""),89.76781)</f>
        <v>89.767809999999997</v>
      </c>
      <c r="N142" s="21"/>
      <c r="O14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2" s="21" t="str">
        <f ca="1">IFERROR(__xludf.DUMMYFUNCTION("""COMPUTED_VALUE"""),"ফলদ, বনজ")</f>
        <v>ফলদ, বনজ</v>
      </c>
      <c r="Q142" s="21">
        <f ca="1">IFERROR(__xludf.DUMMYFUNCTION("""COMPUTED_VALUE"""),5)</f>
        <v>5</v>
      </c>
      <c r="R142" s="21"/>
      <c r="S142" s="21"/>
      <c r="T142" s="21"/>
      <c r="U142" s="21" t="str">
        <f ca="1">IFERROR(__xludf.DUMMYFUNCTION("""COMPUTED_VALUE"""),"মোঃ আবুল কালাম আজাদ")</f>
        <v>মোঃ আবুল কালাম আজাদ</v>
      </c>
      <c r="V142" s="21" t="str">
        <f ca="1">IFERROR(__xludf.DUMMYFUNCTION("""COMPUTED_VALUE"""),"০১৮২১২২৮২৫৩")</f>
        <v>০১৮২১২২৮২৫৩</v>
      </c>
      <c r="W142" s="21" t="str">
        <f ca="1">IFERROR(__xludf.DUMMYFUNCTION("""COMPUTED_VALUE"""),"হাফিজা খাতুন")</f>
        <v>হাফিজা খাতুন</v>
      </c>
      <c r="X142" s="21" t="str">
        <f ca="1">IFERROR(__xludf.DUMMYFUNCTION("""COMPUTED_VALUE"""),"১৯৮৩৬২২২৭৫")</f>
        <v>১৯৮৩৬২২২৭৫</v>
      </c>
      <c r="Y142" s="21"/>
      <c r="Z142" s="21"/>
      <c r="AA142" s="21"/>
      <c r="AB142" s="21"/>
      <c r="AC142" s="21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 spans="1:40" ht="15" customHeight="1" x14ac:dyDescent="0.15">
      <c r="A143" s="25"/>
      <c r="B143" s="25"/>
      <c r="C143" s="25" t="str">
        <f ca="1">IFERROR(__xludf.DUMMYFUNCTION("""COMPUTED_VALUE"""),"রংপুর")</f>
        <v>রংপুর</v>
      </c>
      <c r="D143" s="25" t="str">
        <f ca="1">IFERROR(__xludf.DUMMYFUNCTION("""COMPUTED_VALUE"""),"রংপুর")</f>
        <v>রংপুর</v>
      </c>
      <c r="E143" s="25" t="str">
        <f ca="1">IFERROR(__xludf.DUMMYFUNCTION("""COMPUTED_VALUE"""),"কুড়িগ্রাম")</f>
        <v>কুড়িগ্রাম</v>
      </c>
      <c r="F143" s="25" t="str">
        <f ca="1">IFERROR(__xludf.DUMMYFUNCTION("""COMPUTED_VALUE"""),"চর রাজিবপুর")</f>
        <v>চর রাজিবপুর</v>
      </c>
      <c r="G143" s="25"/>
      <c r="H143" s="25"/>
      <c r="I143" s="25"/>
      <c r="J143" s="25" t="str">
        <f ca="1">IFERROR(__xludf.DUMMYFUNCTION("""COMPUTED_VALUE"""),"প্রণোদনা")</f>
        <v>প্রণোদনা</v>
      </c>
      <c r="K143" s="25"/>
      <c r="L143" s="25">
        <f ca="1">IFERROR(__xludf.DUMMYFUNCTION("""COMPUTED_VALUE"""),25.4743)</f>
        <v>25.474299999999999</v>
      </c>
      <c r="M143" s="25">
        <f ca="1">IFERROR(__xludf.DUMMYFUNCTION("""COMPUTED_VALUE"""),89.7678)</f>
        <v>89.767799999999994</v>
      </c>
      <c r="N143" s="25"/>
      <c r="O14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3" s="25" t="str">
        <f ca="1">IFERROR(__xludf.DUMMYFUNCTION("""COMPUTED_VALUE"""),"ফলদ, বনজ")</f>
        <v>ফলদ, বনজ</v>
      </c>
      <c r="Q143" s="25">
        <f ca="1">IFERROR(__xludf.DUMMYFUNCTION("""COMPUTED_VALUE"""),5)</f>
        <v>5</v>
      </c>
      <c r="R143" s="25"/>
      <c r="S143" s="25"/>
      <c r="T143" s="25"/>
      <c r="U143" s="25" t="str">
        <f ca="1">IFERROR(__xludf.DUMMYFUNCTION("""COMPUTED_VALUE"""),"মোঃ মমিনুল ইসলাম")</f>
        <v>মোঃ মমিনুল ইসলাম</v>
      </c>
      <c r="V143" s="25" t="str">
        <f ca="1">IFERROR(__xludf.DUMMYFUNCTION("""COMPUTED_VALUE"""),"০১৯৫৩৪২৭৩৭৭")</f>
        <v>০১৯৫৩৪২৭৩৭৭</v>
      </c>
      <c r="W143" s="25" t="str">
        <f ca="1">IFERROR(__xludf.DUMMYFUNCTION("""COMPUTED_VALUE"""),"হাফিজা খাতুন")</f>
        <v>হাফিজা খাতুন</v>
      </c>
      <c r="X143" s="25" t="str">
        <f ca="1">IFERROR(__xludf.DUMMYFUNCTION("""COMPUTED_VALUE"""),"১৯৮৩৬২২২৭৫")</f>
        <v>১৯৮৩৬২২২৭৫</v>
      </c>
      <c r="Y143" s="25"/>
      <c r="Z143" s="25"/>
      <c r="AA143" s="25"/>
      <c r="AB143" s="25"/>
      <c r="AC143" s="25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spans="1:40" ht="15" customHeight="1" x14ac:dyDescent="0.15">
      <c r="A144" s="21"/>
      <c r="B144" s="21"/>
      <c r="C144" s="21" t="str">
        <f ca="1">IFERROR(__xludf.DUMMYFUNCTION("""COMPUTED_VALUE"""),"রংপুর")</f>
        <v>রংপুর</v>
      </c>
      <c r="D144" s="21" t="str">
        <f ca="1">IFERROR(__xludf.DUMMYFUNCTION("""COMPUTED_VALUE"""),"রংপুর")</f>
        <v>রংপুর</v>
      </c>
      <c r="E144" s="21" t="str">
        <f ca="1">IFERROR(__xludf.DUMMYFUNCTION("""COMPUTED_VALUE"""),"কুড়িগ্রাম")</f>
        <v>কুড়িগ্রাম</v>
      </c>
      <c r="F144" s="21" t="str">
        <f ca="1">IFERROR(__xludf.DUMMYFUNCTION("""COMPUTED_VALUE"""),"চর রাজিবপুর")</f>
        <v>চর রাজিবপুর</v>
      </c>
      <c r="G144" s="21"/>
      <c r="H144" s="21"/>
      <c r="I144" s="21"/>
      <c r="J144" s="21" t="str">
        <f ca="1">IFERROR(__xludf.DUMMYFUNCTION("""COMPUTED_VALUE"""),"প্রণোদনা")</f>
        <v>প্রণোদনা</v>
      </c>
      <c r="K144" s="21"/>
      <c r="L144" s="21">
        <f ca="1">IFERROR(__xludf.DUMMYFUNCTION("""COMPUTED_VALUE"""),25.49552)</f>
        <v>25.495519999999999</v>
      </c>
      <c r="M144" s="21">
        <f ca="1">IFERROR(__xludf.DUMMYFUNCTION("""COMPUTED_VALUE"""),89.76726)</f>
        <v>89.767259999999993</v>
      </c>
      <c r="N144" s="21"/>
      <c r="O14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4" s="21" t="str">
        <f ca="1">IFERROR(__xludf.DUMMYFUNCTION("""COMPUTED_VALUE"""),"ফলদ, বনজ")</f>
        <v>ফলদ, বনজ</v>
      </c>
      <c r="Q144" s="21">
        <f ca="1">IFERROR(__xludf.DUMMYFUNCTION("""COMPUTED_VALUE"""),5)</f>
        <v>5</v>
      </c>
      <c r="R144" s="21"/>
      <c r="S144" s="21"/>
      <c r="T144" s="21"/>
      <c r="U144" s="21" t="str">
        <f ca="1">IFERROR(__xludf.DUMMYFUNCTION("""COMPUTED_VALUE"""),"মোঃ নুরুল হক")</f>
        <v>মোঃ নুরুল হক</v>
      </c>
      <c r="V144" s="21" t="str">
        <f ca="1">IFERROR(__xludf.DUMMYFUNCTION("""COMPUTED_VALUE"""),"০১৬৪৮৭৭৯০৩৬")</f>
        <v>০১৬৪৮৭৭৯০৩৬</v>
      </c>
      <c r="W144" s="21" t="str">
        <f ca="1">IFERROR(__xludf.DUMMYFUNCTION("""COMPUTED_VALUE"""),"হাফিজা খাতুন")</f>
        <v>হাফিজা খাতুন</v>
      </c>
      <c r="X144" s="21" t="str">
        <f ca="1">IFERROR(__xludf.DUMMYFUNCTION("""COMPUTED_VALUE"""),"১৯৮৩৬২২২৭৫")</f>
        <v>১৯৮৩৬২২২৭৫</v>
      </c>
      <c r="Y144" s="21"/>
      <c r="Z144" s="21"/>
      <c r="AA144" s="21"/>
      <c r="AB144" s="21"/>
      <c r="AC144" s="21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 spans="1:40" ht="15" customHeight="1" x14ac:dyDescent="0.15">
      <c r="A145" s="25"/>
      <c r="B145" s="25"/>
      <c r="C145" s="25" t="str">
        <f ca="1">IFERROR(__xludf.DUMMYFUNCTION("""COMPUTED_VALUE"""),"রংপুর")</f>
        <v>রংপুর</v>
      </c>
      <c r="D145" s="25" t="str">
        <f ca="1">IFERROR(__xludf.DUMMYFUNCTION("""COMPUTED_VALUE"""),"রংপুর")</f>
        <v>রংপুর</v>
      </c>
      <c r="E145" s="25" t="str">
        <f ca="1">IFERROR(__xludf.DUMMYFUNCTION("""COMPUTED_VALUE"""),"কুড়িগ্রাম")</f>
        <v>কুড়িগ্রাম</v>
      </c>
      <c r="F145" s="25" t="str">
        <f ca="1">IFERROR(__xludf.DUMMYFUNCTION("""COMPUTED_VALUE"""),"চর রাজিবপুর")</f>
        <v>চর রাজিবপুর</v>
      </c>
      <c r="G145" s="25"/>
      <c r="H145" s="25"/>
      <c r="I145" s="25"/>
      <c r="J145" s="25" t="str">
        <f ca="1">IFERROR(__xludf.DUMMYFUNCTION("""COMPUTED_VALUE"""),"প্রণোদনা")</f>
        <v>প্রণোদনা</v>
      </c>
      <c r="K145" s="25"/>
      <c r="L145" s="25">
        <f ca="1">IFERROR(__xludf.DUMMYFUNCTION("""COMPUTED_VALUE"""),25.50257)</f>
        <v>25.502569999999999</v>
      </c>
      <c r="M145" s="25">
        <f ca="1">IFERROR(__xludf.DUMMYFUNCTION("""COMPUTED_VALUE"""),89.76734)</f>
        <v>89.767340000000004</v>
      </c>
      <c r="N145" s="25"/>
      <c r="O14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5" s="25" t="str">
        <f ca="1">IFERROR(__xludf.DUMMYFUNCTION("""COMPUTED_VALUE"""),"ফলদ, বনজ")</f>
        <v>ফলদ, বনজ</v>
      </c>
      <c r="Q145" s="25">
        <f ca="1">IFERROR(__xludf.DUMMYFUNCTION("""COMPUTED_VALUE"""),5)</f>
        <v>5</v>
      </c>
      <c r="R145" s="25"/>
      <c r="S145" s="25"/>
      <c r="T145" s="25"/>
      <c r="U145" s="25" t="str">
        <f ca="1">IFERROR(__xludf.DUMMYFUNCTION("""COMPUTED_VALUE"""),"মোছাঃ মৌসুমী খাতুন")</f>
        <v>মোছাঃ মৌসুমী খাতুন</v>
      </c>
      <c r="V145" s="25" t="str">
        <f ca="1">IFERROR(__xludf.DUMMYFUNCTION("""COMPUTED_VALUE"""),"০১৮৫৪৫৪৮৪৯৪")</f>
        <v>০১৮৫৪৫৪৮৪৯৪</v>
      </c>
      <c r="W145" s="25" t="str">
        <f ca="1">IFERROR(__xludf.DUMMYFUNCTION("""COMPUTED_VALUE"""),"হাফিজা খাতুন")</f>
        <v>হাফিজা খাতুন</v>
      </c>
      <c r="X145" s="25" t="str">
        <f ca="1">IFERROR(__xludf.DUMMYFUNCTION("""COMPUTED_VALUE"""),"১৯৮৩৬২২২৭৫")</f>
        <v>১৯৮৩৬২২২৭৫</v>
      </c>
      <c r="Y145" s="25"/>
      <c r="Z145" s="25"/>
      <c r="AA145" s="25"/>
      <c r="AB145" s="25"/>
      <c r="AC145" s="25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spans="1:40" ht="15" customHeight="1" x14ac:dyDescent="0.15">
      <c r="A146" s="21"/>
      <c r="B146" s="21"/>
      <c r="C146" s="21" t="str">
        <f ca="1">IFERROR(__xludf.DUMMYFUNCTION("""COMPUTED_VALUE"""),"রংপুর")</f>
        <v>রংপুর</v>
      </c>
      <c r="D146" s="21" t="str">
        <f ca="1">IFERROR(__xludf.DUMMYFUNCTION("""COMPUTED_VALUE"""),"রংপুর")</f>
        <v>রংপুর</v>
      </c>
      <c r="E146" s="21" t="str">
        <f ca="1">IFERROR(__xludf.DUMMYFUNCTION("""COMPUTED_VALUE"""),"কুড়িগ্রাম")</f>
        <v>কুড়িগ্রাম</v>
      </c>
      <c r="F146" s="21" t="str">
        <f ca="1">IFERROR(__xludf.DUMMYFUNCTION("""COMPUTED_VALUE"""),"চর রাজিবপুর")</f>
        <v>চর রাজিবপুর</v>
      </c>
      <c r="G146" s="21"/>
      <c r="H146" s="21"/>
      <c r="I146" s="21"/>
      <c r="J146" s="21" t="str">
        <f ca="1">IFERROR(__xludf.DUMMYFUNCTION("""COMPUTED_VALUE"""),"প্রণোদনা")</f>
        <v>প্রণোদনা</v>
      </c>
      <c r="K146" s="21"/>
      <c r="L146" s="21">
        <f ca="1">IFERROR(__xludf.DUMMYFUNCTION("""COMPUTED_VALUE"""),25.50335)</f>
        <v>25.503350000000001</v>
      </c>
      <c r="M146" s="21">
        <f ca="1">IFERROR(__xludf.DUMMYFUNCTION("""COMPUTED_VALUE"""),89.768669)</f>
        <v>89.768669000000003</v>
      </c>
      <c r="N146" s="21"/>
      <c r="O14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6" s="21" t="str">
        <f ca="1">IFERROR(__xludf.DUMMYFUNCTION("""COMPUTED_VALUE"""),"ফলদ, বনজ")</f>
        <v>ফলদ, বনজ</v>
      </c>
      <c r="Q146" s="21">
        <f ca="1">IFERROR(__xludf.DUMMYFUNCTION("""COMPUTED_VALUE"""),5)</f>
        <v>5</v>
      </c>
      <c r="R146" s="21"/>
      <c r="S146" s="21"/>
      <c r="T146" s="21"/>
      <c r="U146" s="21" t="str">
        <f ca="1">IFERROR(__xludf.DUMMYFUNCTION("""COMPUTED_VALUE"""),"মোঃ সাইদুর রহমান")</f>
        <v>মোঃ সাইদুর রহমান</v>
      </c>
      <c r="V146" s="21" t="str">
        <f ca="1">IFERROR(__xludf.DUMMYFUNCTION("""COMPUTED_VALUE"""),"০১৭৫২০৫৪১৮২")</f>
        <v>০১৭৫২০৫৪১৮২</v>
      </c>
      <c r="W146" s="21" t="str">
        <f ca="1">IFERROR(__xludf.DUMMYFUNCTION("""COMPUTED_VALUE"""),"হাফিজা খাতুন")</f>
        <v>হাফিজা খাতুন</v>
      </c>
      <c r="X146" s="21" t="str">
        <f ca="1">IFERROR(__xludf.DUMMYFUNCTION("""COMPUTED_VALUE"""),"১৯৮৩৬২২২৭৫")</f>
        <v>১৯৮৩৬২২২৭৫</v>
      </c>
      <c r="Y146" s="21"/>
      <c r="Z146" s="21"/>
      <c r="AA146" s="21"/>
      <c r="AB146" s="21"/>
      <c r="AC146" s="21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 spans="1:40" ht="15" customHeight="1" x14ac:dyDescent="0.15">
      <c r="A147" s="25"/>
      <c r="B147" s="25"/>
      <c r="C147" s="25" t="str">
        <f ca="1">IFERROR(__xludf.DUMMYFUNCTION("""COMPUTED_VALUE"""),"রংপুর")</f>
        <v>রংপুর</v>
      </c>
      <c r="D147" s="25" t="str">
        <f ca="1">IFERROR(__xludf.DUMMYFUNCTION("""COMPUTED_VALUE"""),"রংপুর")</f>
        <v>রংপুর</v>
      </c>
      <c r="E147" s="25" t="str">
        <f ca="1">IFERROR(__xludf.DUMMYFUNCTION("""COMPUTED_VALUE"""),"কুড়িগ্রাম")</f>
        <v>কুড়িগ্রাম</v>
      </c>
      <c r="F147" s="25" t="str">
        <f ca="1">IFERROR(__xludf.DUMMYFUNCTION("""COMPUTED_VALUE"""),"চর রাজিবপুর")</f>
        <v>চর রাজিবপুর</v>
      </c>
      <c r="G147" s="25"/>
      <c r="H147" s="25"/>
      <c r="I147" s="25"/>
      <c r="J147" s="25" t="str">
        <f ca="1">IFERROR(__xludf.DUMMYFUNCTION("""COMPUTED_VALUE"""),"প্রণোদনা")</f>
        <v>প্রণোদনা</v>
      </c>
      <c r="K147" s="25"/>
      <c r="L147" s="25">
        <f ca="1">IFERROR(__xludf.DUMMYFUNCTION("""COMPUTED_VALUE"""),25.49771)</f>
        <v>25.497710000000001</v>
      </c>
      <c r="M147" s="25">
        <f ca="1">IFERROR(__xludf.DUMMYFUNCTION("""COMPUTED_VALUE"""),89.76855)</f>
        <v>89.768550000000005</v>
      </c>
      <c r="N147" s="25"/>
      <c r="O14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7" s="25" t="str">
        <f ca="1">IFERROR(__xludf.DUMMYFUNCTION("""COMPUTED_VALUE"""),"ফলদ, বনজ")</f>
        <v>ফলদ, বনজ</v>
      </c>
      <c r="Q147" s="25">
        <f ca="1">IFERROR(__xludf.DUMMYFUNCTION("""COMPUTED_VALUE"""),5)</f>
        <v>5</v>
      </c>
      <c r="R147" s="25"/>
      <c r="S147" s="25"/>
      <c r="T147" s="25"/>
      <c r="U147" s="25" t="str">
        <f ca="1">IFERROR(__xludf.DUMMYFUNCTION("""COMPUTED_VALUE"""),"মোঃ মমিনুল হক")</f>
        <v>মোঃ মমিনুল হক</v>
      </c>
      <c r="V147" s="25" t="str">
        <f ca="1">IFERROR(__xludf.DUMMYFUNCTION("""COMPUTED_VALUE"""),"০১৯৫৩৪২৭৩৭৭")</f>
        <v>০১৯৫৩৪২৭৩৭৭</v>
      </c>
      <c r="W147" s="25" t="str">
        <f ca="1">IFERROR(__xludf.DUMMYFUNCTION("""COMPUTED_VALUE"""),"হাফিজা খাতুন")</f>
        <v>হাফিজা খাতুন</v>
      </c>
      <c r="X147" s="25" t="str">
        <f ca="1">IFERROR(__xludf.DUMMYFUNCTION("""COMPUTED_VALUE"""),"১৯৮৩৬২২২৭৫")</f>
        <v>১৯৮৩৬২২২৭৫</v>
      </c>
      <c r="Y147" s="25"/>
      <c r="Z147" s="25"/>
      <c r="AA147" s="25"/>
      <c r="AB147" s="25"/>
      <c r="AC147" s="25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spans="1:40" ht="15" customHeight="1" x14ac:dyDescent="0.15">
      <c r="A148" s="21"/>
      <c r="B148" s="21"/>
      <c r="C148" s="21" t="str">
        <f ca="1">IFERROR(__xludf.DUMMYFUNCTION("""COMPUTED_VALUE"""),"রংপুর")</f>
        <v>রংপুর</v>
      </c>
      <c r="D148" s="21" t="str">
        <f ca="1">IFERROR(__xludf.DUMMYFUNCTION("""COMPUTED_VALUE"""),"রংপুর")</f>
        <v>রংপুর</v>
      </c>
      <c r="E148" s="21" t="str">
        <f ca="1">IFERROR(__xludf.DUMMYFUNCTION("""COMPUTED_VALUE"""),"কুড়িগ্রাম")</f>
        <v>কুড়িগ্রাম</v>
      </c>
      <c r="F148" s="21" t="str">
        <f ca="1">IFERROR(__xludf.DUMMYFUNCTION("""COMPUTED_VALUE"""),"চর রাজিবপুর")</f>
        <v>চর রাজিবপুর</v>
      </c>
      <c r="G148" s="21"/>
      <c r="H148" s="21"/>
      <c r="I148" s="21"/>
      <c r="J148" s="21" t="str">
        <f ca="1">IFERROR(__xludf.DUMMYFUNCTION("""COMPUTED_VALUE"""),"প্রণোদনা")</f>
        <v>প্রণোদনা</v>
      </c>
      <c r="K148" s="21"/>
      <c r="L148" s="21">
        <f ca="1">IFERROR(__xludf.DUMMYFUNCTION("""COMPUTED_VALUE"""),25.49786)</f>
        <v>25.497859999999999</v>
      </c>
      <c r="M148" s="21">
        <f ca="1">IFERROR(__xludf.DUMMYFUNCTION("""COMPUTED_VALUE"""),89.76835)</f>
        <v>89.768349999999998</v>
      </c>
      <c r="N148" s="21"/>
      <c r="O14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8" s="21" t="str">
        <f ca="1">IFERROR(__xludf.DUMMYFUNCTION("""COMPUTED_VALUE"""),"ফলদ, বনজ")</f>
        <v>ফলদ, বনজ</v>
      </c>
      <c r="Q148" s="21">
        <f ca="1">IFERROR(__xludf.DUMMYFUNCTION("""COMPUTED_VALUE"""),5)</f>
        <v>5</v>
      </c>
      <c r="R148" s="21"/>
      <c r="S148" s="21"/>
      <c r="T148" s="21"/>
      <c r="U148" s="21" t="str">
        <f ca="1">IFERROR(__xludf.DUMMYFUNCTION("""COMPUTED_VALUE"""),"মোঃ খলিল")</f>
        <v>মোঃ খলিল</v>
      </c>
      <c r="V148" s="21" t="str">
        <f ca="1">IFERROR(__xludf.DUMMYFUNCTION("""COMPUTED_VALUE"""),"০১৯৬৫৮৬৭৪৬৭")</f>
        <v>০১৯৬৫৮৬৭৪৬৭</v>
      </c>
      <c r="W148" s="21" t="str">
        <f ca="1">IFERROR(__xludf.DUMMYFUNCTION("""COMPUTED_VALUE"""),"হাফিজা খাতুন")</f>
        <v>হাফিজা খাতুন</v>
      </c>
      <c r="X148" s="21" t="str">
        <f ca="1">IFERROR(__xludf.DUMMYFUNCTION("""COMPUTED_VALUE"""),"১৯৮৩৬২২২৭৫")</f>
        <v>১৯৮৩৬২২২৭৫</v>
      </c>
      <c r="Y148" s="21"/>
      <c r="Z148" s="21"/>
      <c r="AA148" s="21"/>
      <c r="AB148" s="21"/>
      <c r="AC148" s="21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 spans="1:40" ht="15" customHeight="1" x14ac:dyDescent="0.15">
      <c r="A149" s="25"/>
      <c r="B149" s="25"/>
      <c r="C149" s="25" t="str">
        <f ca="1">IFERROR(__xludf.DUMMYFUNCTION("""COMPUTED_VALUE"""),"রংপুর")</f>
        <v>রংপুর</v>
      </c>
      <c r="D149" s="25" t="str">
        <f ca="1">IFERROR(__xludf.DUMMYFUNCTION("""COMPUTED_VALUE"""),"রংপুর")</f>
        <v>রংপুর</v>
      </c>
      <c r="E149" s="25" t="str">
        <f ca="1">IFERROR(__xludf.DUMMYFUNCTION("""COMPUTED_VALUE"""),"কুড়িগ্রাম")</f>
        <v>কুড়িগ্রাম</v>
      </c>
      <c r="F149" s="25" t="str">
        <f ca="1">IFERROR(__xludf.DUMMYFUNCTION("""COMPUTED_VALUE"""),"চর রাজিবপুর")</f>
        <v>চর রাজিবপুর</v>
      </c>
      <c r="G149" s="25"/>
      <c r="H149" s="25"/>
      <c r="I149" s="25"/>
      <c r="J149" s="25" t="str">
        <f ca="1">IFERROR(__xludf.DUMMYFUNCTION("""COMPUTED_VALUE"""),"প্রণোদনা")</f>
        <v>প্রণোদনা</v>
      </c>
      <c r="K149" s="25"/>
      <c r="L149" s="25">
        <f ca="1">IFERROR(__xludf.DUMMYFUNCTION("""COMPUTED_VALUE"""),25.49765)</f>
        <v>25.49765</v>
      </c>
      <c r="M149" s="25">
        <f ca="1">IFERROR(__xludf.DUMMYFUNCTION("""COMPUTED_VALUE"""),89.76818)</f>
        <v>89.768180000000001</v>
      </c>
      <c r="N149" s="25"/>
      <c r="O14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9" s="25" t="str">
        <f ca="1">IFERROR(__xludf.DUMMYFUNCTION("""COMPUTED_VALUE"""),"ফলদ, বনজ")</f>
        <v>ফলদ, বনজ</v>
      </c>
      <c r="Q149" s="25">
        <f ca="1">IFERROR(__xludf.DUMMYFUNCTION("""COMPUTED_VALUE"""),5)</f>
        <v>5</v>
      </c>
      <c r="R149" s="25"/>
      <c r="S149" s="25"/>
      <c r="T149" s="25"/>
      <c r="U149" s="25" t="str">
        <f ca="1">IFERROR(__xludf.DUMMYFUNCTION("""COMPUTED_VALUE"""),"মোঃ আঃ মান্নান")</f>
        <v>মোঃ আঃ মান্নান</v>
      </c>
      <c r="V149" s="25" t="str">
        <f ca="1">IFERROR(__xludf.DUMMYFUNCTION("""COMPUTED_VALUE"""),"০১৮২৮০৫৮৮০১")</f>
        <v>০১৮২৮০৫৮৮০১</v>
      </c>
      <c r="W149" s="25" t="str">
        <f ca="1">IFERROR(__xludf.DUMMYFUNCTION("""COMPUTED_VALUE"""),"হাফিজা খাতুন")</f>
        <v>হাফিজা খাতুন</v>
      </c>
      <c r="X149" s="25" t="str">
        <f ca="1">IFERROR(__xludf.DUMMYFUNCTION("""COMPUTED_VALUE"""),"১৯৮৩৬২২২৭৫")</f>
        <v>১৯৮৩৬২২২৭৫</v>
      </c>
      <c r="Y149" s="25"/>
      <c r="Z149" s="25"/>
      <c r="AA149" s="25"/>
      <c r="AB149" s="25"/>
      <c r="AC149" s="25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spans="1:40" ht="15" customHeight="1" x14ac:dyDescent="0.15">
      <c r="A150" s="21"/>
      <c r="B150" s="21"/>
      <c r="C150" s="21" t="str">
        <f ca="1">IFERROR(__xludf.DUMMYFUNCTION("""COMPUTED_VALUE"""),"রংপুর")</f>
        <v>রংপুর</v>
      </c>
      <c r="D150" s="21" t="str">
        <f ca="1">IFERROR(__xludf.DUMMYFUNCTION("""COMPUTED_VALUE"""),"রংপুর")</f>
        <v>রংপুর</v>
      </c>
      <c r="E150" s="21" t="str">
        <f ca="1">IFERROR(__xludf.DUMMYFUNCTION("""COMPUTED_VALUE"""),"কুড়িগ্রাম")</f>
        <v>কুড়িগ্রাম</v>
      </c>
      <c r="F150" s="21" t="str">
        <f ca="1">IFERROR(__xludf.DUMMYFUNCTION("""COMPUTED_VALUE"""),"চর রাজিবপুর")</f>
        <v>চর রাজিবপুর</v>
      </c>
      <c r="G150" s="21"/>
      <c r="H150" s="21"/>
      <c r="I150" s="21"/>
      <c r="J150" s="21" t="str">
        <f ca="1">IFERROR(__xludf.DUMMYFUNCTION("""COMPUTED_VALUE"""),"প্রণোদনা")</f>
        <v>প্রণোদনা</v>
      </c>
      <c r="K150" s="21"/>
      <c r="L150" s="21">
        <f ca="1">IFERROR(__xludf.DUMMYFUNCTION("""COMPUTED_VALUE"""),25.50258)</f>
        <v>25.502579999999998</v>
      </c>
      <c r="M150" s="21">
        <f ca="1">IFERROR(__xludf.DUMMYFUNCTION("""COMPUTED_VALUE"""),89.76701)</f>
        <v>89.767009999999999</v>
      </c>
      <c r="N150" s="21"/>
      <c r="O15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0" s="21" t="str">
        <f ca="1">IFERROR(__xludf.DUMMYFUNCTION("""COMPUTED_VALUE"""),"ফলদ, বনজ")</f>
        <v>ফলদ, বনজ</v>
      </c>
      <c r="Q150" s="21">
        <f ca="1">IFERROR(__xludf.DUMMYFUNCTION("""COMPUTED_VALUE"""),5)</f>
        <v>5</v>
      </c>
      <c r="R150" s="21"/>
      <c r="S150" s="21"/>
      <c r="T150" s="21"/>
      <c r="U150" s="21" t="str">
        <f ca="1">IFERROR(__xludf.DUMMYFUNCTION("""COMPUTED_VALUE"""),"মোঃ মেহেদুল ইসলাম")</f>
        <v>মোঃ মেহেদুল ইসলাম</v>
      </c>
      <c r="V150" s="21" t="str">
        <f ca="1">IFERROR(__xludf.DUMMYFUNCTION("""COMPUTED_VALUE"""),"০১৭৫২০৫৪১৮২")</f>
        <v>০১৭৫২০৫৪১৮২</v>
      </c>
      <c r="W150" s="21" t="str">
        <f ca="1">IFERROR(__xludf.DUMMYFUNCTION("""COMPUTED_VALUE"""),"হাফিজা খাতুন")</f>
        <v>হাফিজা খাতুন</v>
      </c>
      <c r="X150" s="21" t="str">
        <f ca="1">IFERROR(__xludf.DUMMYFUNCTION("""COMPUTED_VALUE"""),"১৯৮৩৬২২২৭৫")</f>
        <v>১৯৮৩৬২২২৭৫</v>
      </c>
      <c r="Y150" s="21"/>
      <c r="Z150" s="21"/>
      <c r="AA150" s="21"/>
      <c r="AB150" s="21"/>
      <c r="AC150" s="21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spans="1:40" ht="15" customHeight="1" x14ac:dyDescent="0.15">
      <c r="A151" s="25"/>
      <c r="B151" s="25"/>
      <c r="C151" s="25" t="str">
        <f ca="1">IFERROR(__xludf.DUMMYFUNCTION("""COMPUTED_VALUE"""),"রংপুর")</f>
        <v>রংপুর</v>
      </c>
      <c r="D151" s="25" t="str">
        <f ca="1">IFERROR(__xludf.DUMMYFUNCTION("""COMPUTED_VALUE"""),"রংপুর")</f>
        <v>রংপুর</v>
      </c>
      <c r="E151" s="25" t="str">
        <f ca="1">IFERROR(__xludf.DUMMYFUNCTION("""COMPUTED_VALUE"""),"কুড়িগ্রাম")</f>
        <v>কুড়িগ্রাম</v>
      </c>
      <c r="F151" s="25" t="str">
        <f ca="1">IFERROR(__xludf.DUMMYFUNCTION("""COMPUTED_VALUE"""),"চর রাজিবপুর")</f>
        <v>চর রাজিবপুর</v>
      </c>
      <c r="G151" s="25"/>
      <c r="H151" s="25"/>
      <c r="I151" s="25"/>
      <c r="J151" s="25" t="str">
        <f ca="1">IFERROR(__xludf.DUMMYFUNCTION("""COMPUTED_VALUE"""),"প্রণোদনা")</f>
        <v>প্রণোদনা</v>
      </c>
      <c r="K151" s="25"/>
      <c r="L151" s="25">
        <f ca="1">IFERROR(__xludf.DUMMYFUNCTION("""COMPUTED_VALUE"""),25.49765)</f>
        <v>25.49765</v>
      </c>
      <c r="M151" s="25">
        <f ca="1">IFERROR(__xludf.DUMMYFUNCTION("""COMPUTED_VALUE"""),89.76809)</f>
        <v>89.768090000000001</v>
      </c>
      <c r="N151" s="25"/>
      <c r="O15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1" s="25" t="str">
        <f ca="1">IFERROR(__xludf.DUMMYFUNCTION("""COMPUTED_VALUE"""),"ফলদ, বনজ")</f>
        <v>ফলদ, বনজ</v>
      </c>
      <c r="Q151" s="25">
        <f ca="1">IFERROR(__xludf.DUMMYFUNCTION("""COMPUTED_VALUE"""),5)</f>
        <v>5</v>
      </c>
      <c r="R151" s="25"/>
      <c r="S151" s="25"/>
      <c r="T151" s="25"/>
      <c r="U151" s="25" t="str">
        <f ca="1">IFERROR(__xludf.DUMMYFUNCTION("""COMPUTED_VALUE"""),"মোঃ রাশেদুল ইসলাম")</f>
        <v>মোঃ রাশেদুল ইসলাম</v>
      </c>
      <c r="V151" s="25" t="str">
        <f ca="1">IFERROR(__xludf.DUMMYFUNCTION("""COMPUTED_VALUE"""),"০১৯৭৮০৫২২৭৯")</f>
        <v>০১৯৭৮০৫২২৭৯</v>
      </c>
      <c r="W151" s="25" t="str">
        <f ca="1">IFERROR(__xludf.DUMMYFUNCTION("""COMPUTED_VALUE"""),"হাফিজা খাতুন")</f>
        <v>হাফিজা খাতুন</v>
      </c>
      <c r="X151" s="25" t="str">
        <f ca="1">IFERROR(__xludf.DUMMYFUNCTION("""COMPUTED_VALUE"""),"১৯৮৩৬২২২৭৫")</f>
        <v>১৯৮৩৬২২২৭৫</v>
      </c>
      <c r="Y151" s="25"/>
      <c r="Z151" s="25"/>
      <c r="AA151" s="25"/>
      <c r="AB151" s="25"/>
      <c r="AC151" s="25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spans="1:40" ht="15" customHeight="1" x14ac:dyDescent="0.15">
      <c r="A152" s="21"/>
      <c r="B152" s="21"/>
      <c r="C152" s="21" t="str">
        <f ca="1">IFERROR(__xludf.DUMMYFUNCTION("""COMPUTED_VALUE"""),"রংপুর")</f>
        <v>রংপুর</v>
      </c>
      <c r="D152" s="21" t="str">
        <f ca="1">IFERROR(__xludf.DUMMYFUNCTION("""COMPUTED_VALUE"""),"রংপুর")</f>
        <v>রংপুর</v>
      </c>
      <c r="E152" s="21" t="str">
        <f ca="1">IFERROR(__xludf.DUMMYFUNCTION("""COMPUTED_VALUE"""),"কুড়িগ্রাম")</f>
        <v>কুড়িগ্রাম</v>
      </c>
      <c r="F152" s="21" t="str">
        <f ca="1">IFERROR(__xludf.DUMMYFUNCTION("""COMPUTED_VALUE"""),"চর রাজিবপুর")</f>
        <v>চর রাজিবপুর</v>
      </c>
      <c r="G152" s="21"/>
      <c r="H152" s="21"/>
      <c r="I152" s="21"/>
      <c r="J152" s="21" t="str">
        <f ca="1">IFERROR(__xludf.DUMMYFUNCTION("""COMPUTED_VALUE"""),"প্রণোদনা")</f>
        <v>প্রণোদনা</v>
      </c>
      <c r="K152" s="21"/>
      <c r="L152" s="21">
        <f ca="1">IFERROR(__xludf.DUMMYFUNCTION("""COMPUTED_VALUE"""),25.4531)</f>
        <v>25.453099999999999</v>
      </c>
      <c r="M152" s="21">
        <f ca="1">IFERROR(__xludf.DUMMYFUNCTION("""COMPUTED_VALUE"""),89.82571)</f>
        <v>89.825710000000001</v>
      </c>
      <c r="N152" s="21"/>
      <c r="O15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2" s="21" t="str">
        <f ca="1">IFERROR(__xludf.DUMMYFUNCTION("""COMPUTED_VALUE"""),"ফলদ, বনজ")</f>
        <v>ফলদ, বনজ</v>
      </c>
      <c r="Q152" s="21">
        <f ca="1">IFERROR(__xludf.DUMMYFUNCTION("""COMPUTED_VALUE"""),5)</f>
        <v>5</v>
      </c>
      <c r="R152" s="21"/>
      <c r="S152" s="21"/>
      <c r="T152" s="21"/>
      <c r="U152" s="21" t="str">
        <f ca="1">IFERROR(__xludf.DUMMYFUNCTION("""COMPUTED_VALUE"""),"মোঃ আবু বক্কও")</f>
        <v>মোঃ আবু বক্কও</v>
      </c>
      <c r="V152" s="21" t="str">
        <f ca="1">IFERROR(__xludf.DUMMYFUNCTION("""COMPUTED_VALUE"""),"০১৭৩০২১৩৮৮৬")</f>
        <v>০১৭৩০২১৩৮৮৬</v>
      </c>
      <c r="W152" s="21" t="str">
        <f ca="1">IFERROR(__xludf.DUMMYFUNCTION("""COMPUTED_VALUE""")," মোঃ শাখাওয়াত হোসেন
   ")</f>
        <v xml:space="preserve"> মোঃ শাখাওয়াত হোসেন
   </v>
      </c>
      <c r="X152" s="21" t="str">
        <f ca="1">IFERROR(__xludf.DUMMYFUNCTION("""COMPUTED_VALUE"""),"০১৭৪৩৬৬৮৬৮০")</f>
        <v>০১৭৪৩৬৬৮৬৮০</v>
      </c>
      <c r="Y152" s="21"/>
      <c r="Z152" s="21"/>
      <c r="AA152" s="21"/>
      <c r="AB152" s="21"/>
      <c r="AC152" s="21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 spans="1:40" ht="15" customHeight="1" x14ac:dyDescent="0.15">
      <c r="A153" s="25"/>
      <c r="B153" s="25"/>
      <c r="C153" s="25" t="str">
        <f ca="1">IFERROR(__xludf.DUMMYFUNCTION("""COMPUTED_VALUE"""),"রংপুর")</f>
        <v>রংপুর</v>
      </c>
      <c r="D153" s="25" t="str">
        <f ca="1">IFERROR(__xludf.DUMMYFUNCTION("""COMPUTED_VALUE"""),"রংপুর")</f>
        <v>রংপুর</v>
      </c>
      <c r="E153" s="25" t="str">
        <f ca="1">IFERROR(__xludf.DUMMYFUNCTION("""COMPUTED_VALUE"""),"কুড়িগ্রাম")</f>
        <v>কুড়িগ্রাম</v>
      </c>
      <c r="F153" s="25" t="str">
        <f ca="1">IFERROR(__xludf.DUMMYFUNCTION("""COMPUTED_VALUE"""),"চর রাজিবপুর")</f>
        <v>চর রাজিবপুর</v>
      </c>
      <c r="G153" s="25"/>
      <c r="H153" s="25"/>
      <c r="I153" s="25"/>
      <c r="J153" s="25" t="str">
        <f ca="1">IFERROR(__xludf.DUMMYFUNCTION("""COMPUTED_VALUE"""),"প্রণোদনা")</f>
        <v>প্রণোদনা</v>
      </c>
      <c r="K153" s="25"/>
      <c r="L153" s="25">
        <f ca="1">IFERROR(__xludf.DUMMYFUNCTION("""COMPUTED_VALUE"""),25.45354)</f>
        <v>25.45354</v>
      </c>
      <c r="M153" s="25">
        <f ca="1">IFERROR(__xludf.DUMMYFUNCTION("""COMPUTED_VALUE"""),89.82546)</f>
        <v>89.825460000000007</v>
      </c>
      <c r="N153" s="25"/>
      <c r="O15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3" s="25" t="str">
        <f ca="1">IFERROR(__xludf.DUMMYFUNCTION("""COMPUTED_VALUE"""),"ফলদ, বনজ")</f>
        <v>ফলদ, বনজ</v>
      </c>
      <c r="Q153" s="25">
        <f ca="1">IFERROR(__xludf.DUMMYFUNCTION("""COMPUTED_VALUE"""),5)</f>
        <v>5</v>
      </c>
      <c r="R153" s="25"/>
      <c r="S153" s="25"/>
      <c r="T153" s="25"/>
      <c r="U153" s="25" t="str">
        <f ca="1">IFERROR(__xludf.DUMMYFUNCTION("""COMPUTED_VALUE"""),"মোঃ তৌকির আহমেদ")</f>
        <v>মোঃ তৌকির আহমেদ</v>
      </c>
      <c r="V153" s="25" t="str">
        <f ca="1">IFERROR(__xludf.DUMMYFUNCTION("""COMPUTED_VALUE"""),"০১৯৬৬৩৪৯১৬২")</f>
        <v>০১৯৬৬৩৪৯১৬২</v>
      </c>
      <c r="W153" s="25" t="str">
        <f ca="1">IFERROR(__xludf.DUMMYFUNCTION("""COMPUTED_VALUE""")," মোঃ শাখাওয়াত হোসেন
   ")</f>
        <v xml:space="preserve"> মোঃ শাখাওয়াত হোসেন
   </v>
      </c>
      <c r="X153" s="25" t="str">
        <f ca="1">IFERROR(__xludf.DUMMYFUNCTION("""COMPUTED_VALUE"""),"০১৭৪৩৬৬৮৬৮০")</f>
        <v>০১৭৪৩৬৬৮৬৮০</v>
      </c>
      <c r="Y153" s="25"/>
      <c r="Z153" s="25"/>
      <c r="AA153" s="25"/>
      <c r="AB153" s="25"/>
      <c r="AC153" s="25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spans="1:40" ht="15" customHeight="1" x14ac:dyDescent="0.15">
      <c r="A154" s="21"/>
      <c r="B154" s="21"/>
      <c r="C154" s="21" t="str">
        <f ca="1">IFERROR(__xludf.DUMMYFUNCTION("""COMPUTED_VALUE"""),"রংপুর")</f>
        <v>রংপুর</v>
      </c>
      <c r="D154" s="21" t="str">
        <f ca="1">IFERROR(__xludf.DUMMYFUNCTION("""COMPUTED_VALUE"""),"রংপুর")</f>
        <v>রংপুর</v>
      </c>
      <c r="E154" s="21" t="str">
        <f ca="1">IFERROR(__xludf.DUMMYFUNCTION("""COMPUTED_VALUE"""),"কুড়িগ্রাম")</f>
        <v>কুড়িগ্রাম</v>
      </c>
      <c r="F154" s="21" t="str">
        <f ca="1">IFERROR(__xludf.DUMMYFUNCTION("""COMPUTED_VALUE"""),"চর রাজিবপুর")</f>
        <v>চর রাজিবপুর</v>
      </c>
      <c r="G154" s="21"/>
      <c r="H154" s="21"/>
      <c r="I154" s="21"/>
      <c r="J154" s="21" t="str">
        <f ca="1">IFERROR(__xludf.DUMMYFUNCTION("""COMPUTED_VALUE"""),"প্রণোদনা")</f>
        <v>প্রণোদনা</v>
      </c>
      <c r="K154" s="21"/>
      <c r="L154" s="21">
        <f ca="1">IFERROR(__xludf.DUMMYFUNCTION("""COMPUTED_VALUE"""),25.45334)</f>
        <v>25.453340000000001</v>
      </c>
      <c r="M154" s="21">
        <f ca="1">IFERROR(__xludf.DUMMYFUNCTION("""COMPUTED_VALUE"""),89.82611)</f>
        <v>89.82611</v>
      </c>
      <c r="N154" s="21"/>
      <c r="O15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4" s="21" t="str">
        <f ca="1">IFERROR(__xludf.DUMMYFUNCTION("""COMPUTED_VALUE"""),"ফলদ, বনজ")</f>
        <v>ফলদ, বনজ</v>
      </c>
      <c r="Q154" s="21">
        <f ca="1">IFERROR(__xludf.DUMMYFUNCTION("""COMPUTED_VALUE"""),5)</f>
        <v>5</v>
      </c>
      <c r="R154" s="21"/>
      <c r="S154" s="21"/>
      <c r="T154" s="21"/>
      <c r="U154" s="21" t="str">
        <f ca="1">IFERROR(__xludf.DUMMYFUNCTION("""COMPUTED_VALUE"""),"মোছাঃ আফরোজা খাতুন")</f>
        <v>মোছাঃ আফরোজা খাতুন</v>
      </c>
      <c r="V154" s="21" t="str">
        <f ca="1">IFERROR(__xludf.DUMMYFUNCTION("""COMPUTED_VALUE"""),"০১৬১৩৯৪৭৭৭৫")</f>
        <v>০১৬১৩৯৪৭৭৭৫</v>
      </c>
      <c r="W154" s="21" t="str">
        <f ca="1">IFERROR(__xludf.DUMMYFUNCTION("""COMPUTED_VALUE""")," মোঃ শাখাওয়াত হোসেন
   ")</f>
        <v xml:space="preserve"> মোঃ শাখাওয়াত হোসেন
   </v>
      </c>
      <c r="X154" s="21" t="str">
        <f ca="1">IFERROR(__xludf.DUMMYFUNCTION("""COMPUTED_VALUE"""),"০১৭৪৩৬৬৮৬৮০")</f>
        <v>০১৭৪৩৬৬৮৬৮০</v>
      </c>
      <c r="Y154" s="21"/>
      <c r="Z154" s="21"/>
      <c r="AA154" s="21"/>
      <c r="AB154" s="21"/>
      <c r="AC154" s="21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 spans="1:40" ht="15" customHeight="1" x14ac:dyDescent="0.15">
      <c r="A155" s="25"/>
      <c r="B155" s="25"/>
      <c r="C155" s="25" t="str">
        <f ca="1">IFERROR(__xludf.DUMMYFUNCTION("""COMPUTED_VALUE"""),"রংপুর")</f>
        <v>রংপুর</v>
      </c>
      <c r="D155" s="25" t="str">
        <f ca="1">IFERROR(__xludf.DUMMYFUNCTION("""COMPUTED_VALUE"""),"রংপুর")</f>
        <v>রংপুর</v>
      </c>
      <c r="E155" s="25" t="str">
        <f ca="1">IFERROR(__xludf.DUMMYFUNCTION("""COMPUTED_VALUE"""),"কুড়িগ্রাম")</f>
        <v>কুড়িগ্রাম</v>
      </c>
      <c r="F155" s="25" t="str">
        <f ca="1">IFERROR(__xludf.DUMMYFUNCTION("""COMPUTED_VALUE"""),"চর রাজিবপুর")</f>
        <v>চর রাজিবপুর</v>
      </c>
      <c r="G155" s="25"/>
      <c r="H155" s="25"/>
      <c r="I155" s="25"/>
      <c r="J155" s="25" t="str">
        <f ca="1">IFERROR(__xludf.DUMMYFUNCTION("""COMPUTED_VALUE"""),"প্রণোদনা")</f>
        <v>প্রণোদনা</v>
      </c>
      <c r="K155" s="25"/>
      <c r="L155" s="25">
        <f ca="1">IFERROR(__xludf.DUMMYFUNCTION("""COMPUTED_VALUE"""),25.45348)</f>
        <v>25.453479999999999</v>
      </c>
      <c r="M155" s="25">
        <f ca="1">IFERROR(__xludf.DUMMYFUNCTION("""COMPUTED_VALUE"""),89.82685)</f>
        <v>89.826849999999993</v>
      </c>
      <c r="N155" s="25"/>
      <c r="O15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5" s="25" t="str">
        <f ca="1">IFERROR(__xludf.DUMMYFUNCTION("""COMPUTED_VALUE"""),"ফলদ, বনজ")</f>
        <v>ফলদ, বনজ</v>
      </c>
      <c r="Q155" s="25">
        <f ca="1">IFERROR(__xludf.DUMMYFUNCTION("""COMPUTED_VALUE"""),5)</f>
        <v>5</v>
      </c>
      <c r="R155" s="25"/>
      <c r="S155" s="25"/>
      <c r="T155" s="25"/>
      <c r="U155" s="25" t="str">
        <f ca="1">IFERROR(__xludf.DUMMYFUNCTION("""COMPUTED_VALUE"""),"মোছাঃ পারুল")</f>
        <v>মোছাঃ পারুল</v>
      </c>
      <c r="V155" s="25" t="str">
        <f ca="1">IFERROR(__xludf.DUMMYFUNCTION("""COMPUTED_VALUE"""),"০১৯৪২৮৮৫০০২")</f>
        <v>০১৯৪২৮৮৫০০২</v>
      </c>
      <c r="W155" s="25" t="str">
        <f ca="1">IFERROR(__xludf.DUMMYFUNCTION("""COMPUTED_VALUE""")," মোঃ শাখাওয়াত হোসেন
   ")</f>
        <v xml:space="preserve"> মোঃ শাখাওয়াত হোসেন
   </v>
      </c>
      <c r="X155" s="25" t="str">
        <f ca="1">IFERROR(__xludf.DUMMYFUNCTION("""COMPUTED_VALUE"""),"০১৭৪৩৬৬৮৬৮০")</f>
        <v>০১৭৪৩৬৬৮৬৮০</v>
      </c>
      <c r="Y155" s="25"/>
      <c r="Z155" s="25"/>
      <c r="AA155" s="25"/>
      <c r="AB155" s="25"/>
      <c r="AC155" s="25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spans="1:40" ht="15" customHeight="1" x14ac:dyDescent="0.15">
      <c r="A156" s="21"/>
      <c r="B156" s="21"/>
      <c r="C156" s="21" t="str">
        <f ca="1">IFERROR(__xludf.DUMMYFUNCTION("""COMPUTED_VALUE"""),"রংপুর")</f>
        <v>রংপুর</v>
      </c>
      <c r="D156" s="21" t="str">
        <f ca="1">IFERROR(__xludf.DUMMYFUNCTION("""COMPUTED_VALUE"""),"রংপুর")</f>
        <v>রংপুর</v>
      </c>
      <c r="E156" s="21" t="str">
        <f ca="1">IFERROR(__xludf.DUMMYFUNCTION("""COMPUTED_VALUE"""),"কুড়িগ্রাম")</f>
        <v>কুড়িগ্রাম</v>
      </c>
      <c r="F156" s="21" t="str">
        <f ca="1">IFERROR(__xludf.DUMMYFUNCTION("""COMPUTED_VALUE"""),"চর রাজিবপুর")</f>
        <v>চর রাজিবপুর</v>
      </c>
      <c r="G156" s="21"/>
      <c r="H156" s="21"/>
      <c r="I156" s="21"/>
      <c r="J156" s="21" t="str">
        <f ca="1">IFERROR(__xludf.DUMMYFUNCTION("""COMPUTED_VALUE"""),"প্রণোদনা")</f>
        <v>প্রণোদনা</v>
      </c>
      <c r="K156" s="21"/>
      <c r="L156" s="21">
        <f ca="1">IFERROR(__xludf.DUMMYFUNCTION("""COMPUTED_VALUE"""),25.45361)</f>
        <v>25.453610000000001</v>
      </c>
      <c r="M156" s="21">
        <f ca="1">IFERROR(__xludf.DUMMYFUNCTION("""COMPUTED_VALUE"""),89.82681)</f>
        <v>89.826809999999995</v>
      </c>
      <c r="N156" s="21"/>
      <c r="O15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6" s="21" t="str">
        <f ca="1">IFERROR(__xludf.DUMMYFUNCTION("""COMPUTED_VALUE"""),"ফলদ, বনজ")</f>
        <v>ফলদ, বনজ</v>
      </c>
      <c r="Q156" s="21">
        <f ca="1">IFERROR(__xludf.DUMMYFUNCTION("""COMPUTED_VALUE"""),5)</f>
        <v>5</v>
      </c>
      <c r="R156" s="21"/>
      <c r="S156" s="21"/>
      <c r="T156" s="21"/>
      <c r="U156" s="21" t="str">
        <f ca="1">IFERROR(__xludf.DUMMYFUNCTION("""COMPUTED_VALUE"""),"মোঃ জয়নাল আবেদীন")</f>
        <v>মোঃ জয়নাল আবেদীন</v>
      </c>
      <c r="V156" s="21" t="str">
        <f ca="1">IFERROR(__xludf.DUMMYFUNCTION("""COMPUTED_VALUE"""),"০১৯৪২৮৮৫৯৯২")</f>
        <v>০১৯৪২৮৮৫৯৯২</v>
      </c>
      <c r="W156" s="21" t="str">
        <f ca="1">IFERROR(__xludf.DUMMYFUNCTION("""COMPUTED_VALUE""")," মোঃ শাখাওয়াত হোসেন
   ")</f>
        <v xml:space="preserve"> মোঃ শাখাওয়াত হোসেন
   </v>
      </c>
      <c r="X156" s="21" t="str">
        <f ca="1">IFERROR(__xludf.DUMMYFUNCTION("""COMPUTED_VALUE"""),"০১৭৪৩৬৬৮৬৮০")</f>
        <v>০১৭৪৩৬৬৮৬৮০</v>
      </c>
      <c r="Y156" s="21"/>
      <c r="Z156" s="21"/>
      <c r="AA156" s="21"/>
      <c r="AB156" s="21"/>
      <c r="AC156" s="21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 spans="1:40" ht="15" customHeight="1" x14ac:dyDescent="0.15">
      <c r="A157" s="25"/>
      <c r="B157" s="25"/>
      <c r="C157" s="25" t="str">
        <f ca="1">IFERROR(__xludf.DUMMYFUNCTION("""COMPUTED_VALUE"""),"রংপুর")</f>
        <v>রংপুর</v>
      </c>
      <c r="D157" s="25" t="str">
        <f ca="1">IFERROR(__xludf.DUMMYFUNCTION("""COMPUTED_VALUE"""),"রংপুর")</f>
        <v>রংপুর</v>
      </c>
      <c r="E157" s="25" t="str">
        <f ca="1">IFERROR(__xludf.DUMMYFUNCTION("""COMPUTED_VALUE"""),"কুড়িগ্রাম")</f>
        <v>কুড়িগ্রাম</v>
      </c>
      <c r="F157" s="25" t="str">
        <f ca="1">IFERROR(__xludf.DUMMYFUNCTION("""COMPUTED_VALUE"""),"চর রাজিবপুর")</f>
        <v>চর রাজিবপুর</v>
      </c>
      <c r="G157" s="25"/>
      <c r="H157" s="25"/>
      <c r="I157" s="25"/>
      <c r="J157" s="25" t="str">
        <f ca="1">IFERROR(__xludf.DUMMYFUNCTION("""COMPUTED_VALUE"""),"প্রণোদনা")</f>
        <v>প্রণোদনা</v>
      </c>
      <c r="K157" s="25"/>
      <c r="L157" s="25">
        <f ca="1">IFERROR(__xludf.DUMMYFUNCTION("""COMPUTED_VALUE"""),25.4541)</f>
        <v>25.4541</v>
      </c>
      <c r="M157" s="25">
        <f ca="1">IFERROR(__xludf.DUMMYFUNCTION("""COMPUTED_VALUE"""),89.82674)</f>
        <v>89.826740000000001</v>
      </c>
      <c r="N157" s="25"/>
      <c r="O15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7" s="25" t="str">
        <f ca="1">IFERROR(__xludf.DUMMYFUNCTION("""COMPUTED_VALUE"""),"ফলদ, বনজ")</f>
        <v>ফলদ, বনজ</v>
      </c>
      <c r="Q157" s="25">
        <f ca="1">IFERROR(__xludf.DUMMYFUNCTION("""COMPUTED_VALUE"""),5)</f>
        <v>5</v>
      </c>
      <c r="R157" s="25"/>
      <c r="S157" s="25"/>
      <c r="T157" s="25"/>
      <c r="U157" s="25" t="str">
        <f ca="1">IFERROR(__xludf.DUMMYFUNCTION("""COMPUTED_VALUE"""),"মোঃ মোকলেছ উদ্দিন")</f>
        <v>মোঃ মোকলেছ উদ্দিন</v>
      </c>
      <c r="V157" s="25" t="str">
        <f ca="1">IFERROR(__xludf.DUMMYFUNCTION("""COMPUTED_VALUE"""),"০১৪০৫২৫৬০৬৮")</f>
        <v>০১৪০৫২৫৬০৬৮</v>
      </c>
      <c r="W157" s="25" t="str">
        <f ca="1">IFERROR(__xludf.DUMMYFUNCTION("""COMPUTED_VALUE""")," মোঃ শাখাওয়াত হোসেন
   ")</f>
        <v xml:space="preserve"> মোঃ শাখাওয়াত হোসেন
   </v>
      </c>
      <c r="X157" s="25" t="str">
        <f ca="1">IFERROR(__xludf.DUMMYFUNCTION("""COMPUTED_VALUE"""),"০১৭৪৩৬৬৮৬৮০")</f>
        <v>০১৭৪৩৬৬৮৬৮০</v>
      </c>
      <c r="Y157" s="25"/>
      <c r="Z157" s="25"/>
      <c r="AA157" s="25"/>
      <c r="AB157" s="25"/>
      <c r="AC157" s="25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spans="1:40" ht="15" customHeight="1" x14ac:dyDescent="0.15">
      <c r="A158" s="21"/>
      <c r="B158" s="21"/>
      <c r="C158" s="21" t="str">
        <f ca="1">IFERROR(__xludf.DUMMYFUNCTION("""COMPUTED_VALUE"""),"রংপুর")</f>
        <v>রংপুর</v>
      </c>
      <c r="D158" s="21" t="str">
        <f ca="1">IFERROR(__xludf.DUMMYFUNCTION("""COMPUTED_VALUE"""),"রংপুর")</f>
        <v>রংপুর</v>
      </c>
      <c r="E158" s="21" t="str">
        <f ca="1">IFERROR(__xludf.DUMMYFUNCTION("""COMPUTED_VALUE"""),"কুড়িগ্রাম")</f>
        <v>কুড়িগ্রাম</v>
      </c>
      <c r="F158" s="21" t="str">
        <f ca="1">IFERROR(__xludf.DUMMYFUNCTION("""COMPUTED_VALUE"""),"চর রাজিবপুর")</f>
        <v>চর রাজিবপুর</v>
      </c>
      <c r="G158" s="21"/>
      <c r="H158" s="21"/>
      <c r="I158" s="21"/>
      <c r="J158" s="21" t="str">
        <f ca="1">IFERROR(__xludf.DUMMYFUNCTION("""COMPUTED_VALUE"""),"প্রণোদনা")</f>
        <v>প্রণোদনা</v>
      </c>
      <c r="K158" s="21"/>
      <c r="L158" s="21">
        <f ca="1">IFERROR(__xludf.DUMMYFUNCTION("""COMPUTED_VALUE"""),25.45403)</f>
        <v>25.454029999999999</v>
      </c>
      <c r="M158" s="21">
        <f ca="1">IFERROR(__xludf.DUMMYFUNCTION("""COMPUTED_VALUE"""),89.82729)</f>
        <v>89.827290000000005</v>
      </c>
      <c r="N158" s="21"/>
      <c r="O15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8" s="21" t="str">
        <f ca="1">IFERROR(__xludf.DUMMYFUNCTION("""COMPUTED_VALUE"""),"ফলদ, বনজ")</f>
        <v>ফলদ, বনজ</v>
      </c>
      <c r="Q158" s="21">
        <f ca="1">IFERROR(__xludf.DUMMYFUNCTION("""COMPUTED_VALUE"""),5)</f>
        <v>5</v>
      </c>
      <c r="R158" s="21"/>
      <c r="S158" s="21"/>
      <c r="T158" s="21"/>
      <c r="U158" s="21" t="str">
        <f ca="1">IFERROR(__xludf.DUMMYFUNCTION("""COMPUTED_VALUE"""),"মোছাঃ সুফিয়া খাতুন")</f>
        <v>মোছাঃ সুফিয়া খাতুন</v>
      </c>
      <c r="V158" s="21" t="str">
        <f ca="1">IFERROR(__xludf.DUMMYFUNCTION("""COMPUTED_VALUE"""),"০১৯৮৩৩৪৯৩৫৭")</f>
        <v>০১৯৮৩৩৪৯৩৫৭</v>
      </c>
      <c r="W158" s="21" t="str">
        <f ca="1">IFERROR(__xludf.DUMMYFUNCTION("""COMPUTED_VALUE""")," মোঃ শাখাওয়াত হোসেন
   ")</f>
        <v xml:space="preserve"> মোঃ শাখাওয়াত হোসেন
   </v>
      </c>
      <c r="X158" s="21" t="str">
        <f ca="1">IFERROR(__xludf.DUMMYFUNCTION("""COMPUTED_VALUE"""),"০১৭৪৩৬৬৮৬৮০")</f>
        <v>০১৭৪৩৬৬৮৬৮০</v>
      </c>
      <c r="Y158" s="21"/>
      <c r="Z158" s="21"/>
      <c r="AA158" s="21"/>
      <c r="AB158" s="21"/>
      <c r="AC158" s="21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 spans="1:40" ht="15" customHeight="1" x14ac:dyDescent="0.15">
      <c r="A159" s="25"/>
      <c r="B159" s="25"/>
      <c r="C159" s="25" t="str">
        <f ca="1">IFERROR(__xludf.DUMMYFUNCTION("""COMPUTED_VALUE"""),"রংপুর")</f>
        <v>রংপুর</v>
      </c>
      <c r="D159" s="25" t="str">
        <f ca="1">IFERROR(__xludf.DUMMYFUNCTION("""COMPUTED_VALUE"""),"রংপুর")</f>
        <v>রংপুর</v>
      </c>
      <c r="E159" s="25" t="str">
        <f ca="1">IFERROR(__xludf.DUMMYFUNCTION("""COMPUTED_VALUE"""),"কুড়িগ্রাম")</f>
        <v>কুড়িগ্রাম</v>
      </c>
      <c r="F159" s="25" t="str">
        <f ca="1">IFERROR(__xludf.DUMMYFUNCTION("""COMPUTED_VALUE"""),"চর রাজিবপুর")</f>
        <v>চর রাজিবপুর</v>
      </c>
      <c r="G159" s="25"/>
      <c r="H159" s="25"/>
      <c r="I159" s="25"/>
      <c r="J159" s="25" t="str">
        <f ca="1">IFERROR(__xludf.DUMMYFUNCTION("""COMPUTED_VALUE"""),"প্রণোদনা")</f>
        <v>প্রণোদনা</v>
      </c>
      <c r="K159" s="25"/>
      <c r="L159" s="25">
        <f ca="1">IFERROR(__xludf.DUMMYFUNCTION("""COMPUTED_VALUE"""),25.4535)</f>
        <v>25.453499999999998</v>
      </c>
      <c r="M159" s="25">
        <f ca="1">IFERROR(__xludf.DUMMYFUNCTION("""COMPUTED_VALUE"""),89.82733)</f>
        <v>89.827330000000003</v>
      </c>
      <c r="N159" s="25"/>
      <c r="O15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9" s="25" t="str">
        <f ca="1">IFERROR(__xludf.DUMMYFUNCTION("""COMPUTED_VALUE"""),"ফলদ, বনজ")</f>
        <v>ফলদ, বনজ</v>
      </c>
      <c r="Q159" s="25">
        <f ca="1">IFERROR(__xludf.DUMMYFUNCTION("""COMPUTED_VALUE"""),5)</f>
        <v>5</v>
      </c>
      <c r="R159" s="25"/>
      <c r="S159" s="25"/>
      <c r="T159" s="25"/>
      <c r="U159" s="25" t="str">
        <f ca="1">IFERROR(__xludf.DUMMYFUNCTION("""COMPUTED_VALUE"""),"বছির আলম")</f>
        <v>বছির আলম</v>
      </c>
      <c r="V159" s="25" t="str">
        <f ca="1">IFERROR(__xludf.DUMMYFUNCTION("""COMPUTED_VALUE"""),"০১৯৪২০৬৮৩৬৭")</f>
        <v>০১৯৪২০৬৮৩৬৭</v>
      </c>
      <c r="W159" s="25" t="str">
        <f ca="1">IFERROR(__xludf.DUMMYFUNCTION("""COMPUTED_VALUE""")," মোঃ শাখাওয়াত হোসেন
   ")</f>
        <v xml:space="preserve"> মোঃ শাখাওয়াত হোসেন
   </v>
      </c>
      <c r="X159" s="25" t="str">
        <f ca="1">IFERROR(__xludf.DUMMYFUNCTION("""COMPUTED_VALUE"""),"০১৭৪৩৬৬৮৬৮০")</f>
        <v>০১৭৪৩৬৬৮৬৮০</v>
      </c>
      <c r="Y159" s="25"/>
      <c r="Z159" s="25"/>
      <c r="AA159" s="25"/>
      <c r="AB159" s="25"/>
      <c r="AC159" s="25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spans="1:40" ht="15" customHeight="1" x14ac:dyDescent="0.15">
      <c r="A160" s="21"/>
      <c r="B160" s="21"/>
      <c r="C160" s="21" t="str">
        <f ca="1">IFERROR(__xludf.DUMMYFUNCTION("""COMPUTED_VALUE"""),"রংপুর")</f>
        <v>রংপুর</v>
      </c>
      <c r="D160" s="21" t="str">
        <f ca="1">IFERROR(__xludf.DUMMYFUNCTION("""COMPUTED_VALUE"""),"রংপুর")</f>
        <v>রংপুর</v>
      </c>
      <c r="E160" s="21" t="str">
        <f ca="1">IFERROR(__xludf.DUMMYFUNCTION("""COMPUTED_VALUE"""),"কুড়িগ্রাম")</f>
        <v>কুড়িগ্রাম</v>
      </c>
      <c r="F160" s="21" t="str">
        <f ca="1">IFERROR(__xludf.DUMMYFUNCTION("""COMPUTED_VALUE"""),"চর রাজিবপুর")</f>
        <v>চর রাজিবপুর</v>
      </c>
      <c r="G160" s="21"/>
      <c r="H160" s="21"/>
      <c r="I160" s="21"/>
      <c r="J160" s="21" t="str">
        <f ca="1">IFERROR(__xludf.DUMMYFUNCTION("""COMPUTED_VALUE"""),"প্রণোদনা")</f>
        <v>প্রণোদনা</v>
      </c>
      <c r="K160" s="21"/>
      <c r="L160" s="21">
        <f ca="1">IFERROR(__xludf.DUMMYFUNCTION("""COMPUTED_VALUE"""),25.45354)</f>
        <v>25.45354</v>
      </c>
      <c r="M160" s="21">
        <f ca="1">IFERROR(__xludf.DUMMYFUNCTION("""COMPUTED_VALUE"""),89.82736)</f>
        <v>89.827359999999999</v>
      </c>
      <c r="N160" s="21"/>
      <c r="O16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0" s="21" t="str">
        <f ca="1">IFERROR(__xludf.DUMMYFUNCTION("""COMPUTED_VALUE"""),"ফলদ, বনজ")</f>
        <v>ফলদ, বনজ</v>
      </c>
      <c r="Q160" s="21">
        <f ca="1">IFERROR(__xludf.DUMMYFUNCTION("""COMPUTED_VALUE"""),5)</f>
        <v>5</v>
      </c>
      <c r="R160" s="21"/>
      <c r="S160" s="21"/>
      <c r="T160" s="21"/>
      <c r="U160" s="21" t="str">
        <f ca="1">IFERROR(__xludf.DUMMYFUNCTION("""COMPUTED_VALUE"""),"মোছাঃ মাহমুদা খাতুন")</f>
        <v>মোছাঃ মাহমুদা খাতুন</v>
      </c>
      <c r="V160" s="21" t="str">
        <f ca="1">IFERROR(__xludf.DUMMYFUNCTION("""COMPUTED_VALUE"""),"০১৯১৬৪২১৩৯৫")</f>
        <v>০১৯১৬৪২১৩৯৫</v>
      </c>
      <c r="W160" s="21" t="str">
        <f ca="1">IFERROR(__xludf.DUMMYFUNCTION("""COMPUTED_VALUE""")," মোঃ শাখাওয়াত হোসেন
   ")</f>
        <v xml:space="preserve"> মোঃ শাখাওয়াত হোসেন
   </v>
      </c>
      <c r="X160" s="21" t="str">
        <f ca="1">IFERROR(__xludf.DUMMYFUNCTION("""COMPUTED_VALUE"""),"০১৭৪৩৬৬৮৬৮০")</f>
        <v>০১৭৪৩৬৬৮৬৮০</v>
      </c>
      <c r="Y160" s="21"/>
      <c r="Z160" s="21"/>
      <c r="AA160" s="21"/>
      <c r="AB160" s="21"/>
      <c r="AC160" s="21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 spans="1:40" ht="15" customHeight="1" x14ac:dyDescent="0.15">
      <c r="A161" s="25"/>
      <c r="B161" s="25"/>
      <c r="C161" s="25" t="str">
        <f ca="1">IFERROR(__xludf.DUMMYFUNCTION("""COMPUTED_VALUE"""),"রংপুর")</f>
        <v>রংপুর</v>
      </c>
      <c r="D161" s="25" t="str">
        <f ca="1">IFERROR(__xludf.DUMMYFUNCTION("""COMPUTED_VALUE"""),"রংপুর")</f>
        <v>রংপুর</v>
      </c>
      <c r="E161" s="25" t="str">
        <f ca="1">IFERROR(__xludf.DUMMYFUNCTION("""COMPUTED_VALUE"""),"কুড়িগ্রাম")</f>
        <v>কুড়িগ্রাম</v>
      </c>
      <c r="F161" s="25" t="str">
        <f ca="1">IFERROR(__xludf.DUMMYFUNCTION("""COMPUTED_VALUE"""),"চর রাজিবপুর")</f>
        <v>চর রাজিবপুর</v>
      </c>
      <c r="G161" s="25"/>
      <c r="H161" s="25"/>
      <c r="I161" s="25"/>
      <c r="J161" s="25" t="str">
        <f ca="1">IFERROR(__xludf.DUMMYFUNCTION("""COMPUTED_VALUE"""),"প্রণোদনা")</f>
        <v>প্রণোদনা</v>
      </c>
      <c r="K161" s="25"/>
      <c r="L161" s="25">
        <f ca="1">IFERROR(__xludf.DUMMYFUNCTION("""COMPUTED_VALUE"""),25.45341)</f>
        <v>25.453410000000002</v>
      </c>
      <c r="M161" s="25">
        <f ca="1">IFERROR(__xludf.DUMMYFUNCTION("""COMPUTED_VALUE"""),89.82812)</f>
        <v>89.828119999999998</v>
      </c>
      <c r="N161" s="25"/>
      <c r="O16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1" s="25" t="str">
        <f ca="1">IFERROR(__xludf.DUMMYFUNCTION("""COMPUTED_VALUE"""),"ফলদ, বনজ")</f>
        <v>ফলদ, বনজ</v>
      </c>
      <c r="Q161" s="25">
        <f ca="1">IFERROR(__xludf.DUMMYFUNCTION("""COMPUTED_VALUE"""),5)</f>
        <v>5</v>
      </c>
      <c r="R161" s="25"/>
      <c r="S161" s="25"/>
      <c r="T161" s="25"/>
      <c r="U161" s="25" t="str">
        <f ca="1">IFERROR(__xludf.DUMMYFUNCTION("""COMPUTED_VALUE"""),"মোঃ মানিক মিয়া")</f>
        <v>মোঃ মানিক মিয়া</v>
      </c>
      <c r="V161" s="25" t="str">
        <f ca="1">IFERROR(__xludf.DUMMYFUNCTION("""COMPUTED_VALUE"""),"০১৯২২০২৮৯৭৫")</f>
        <v>০১৯২২০২৮৯৭৫</v>
      </c>
      <c r="W161" s="25" t="str">
        <f ca="1">IFERROR(__xludf.DUMMYFUNCTION("""COMPUTED_VALUE""")," মোঃ শাখাওয়াত হোসেন
   ")</f>
        <v xml:space="preserve"> মোঃ শাখাওয়াত হোসেন
   </v>
      </c>
      <c r="X161" s="25" t="str">
        <f ca="1">IFERROR(__xludf.DUMMYFUNCTION("""COMPUTED_VALUE"""),"০১৭৪৩৬৬৮৬৮০")</f>
        <v>০১৭৪৩৬৬৮৬৮০</v>
      </c>
      <c r="Y161" s="25"/>
      <c r="Z161" s="25"/>
      <c r="AA161" s="25"/>
      <c r="AB161" s="25"/>
      <c r="AC161" s="25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spans="1:40" ht="15" customHeight="1" x14ac:dyDescent="0.15">
      <c r="A162" s="21"/>
      <c r="B162" s="21"/>
      <c r="C162" s="21" t="str">
        <f ca="1">IFERROR(__xludf.DUMMYFUNCTION("""COMPUTED_VALUE"""),"রংপুর")</f>
        <v>রংপুর</v>
      </c>
      <c r="D162" s="21" t="str">
        <f ca="1">IFERROR(__xludf.DUMMYFUNCTION("""COMPUTED_VALUE"""),"রংপুর")</f>
        <v>রংপুর</v>
      </c>
      <c r="E162" s="21" t="str">
        <f ca="1">IFERROR(__xludf.DUMMYFUNCTION("""COMPUTED_VALUE"""),"কুড়িগ্রাম")</f>
        <v>কুড়িগ্রাম</v>
      </c>
      <c r="F162" s="21" t="str">
        <f ca="1">IFERROR(__xludf.DUMMYFUNCTION("""COMPUTED_VALUE"""),"চর রাজিবপুর")</f>
        <v>চর রাজিবপুর</v>
      </c>
      <c r="G162" s="21"/>
      <c r="H162" s="21"/>
      <c r="I162" s="21"/>
      <c r="J162" s="21" t="str">
        <f ca="1">IFERROR(__xludf.DUMMYFUNCTION("""COMPUTED_VALUE"""),"প্রণোদনা")</f>
        <v>প্রণোদনা</v>
      </c>
      <c r="K162" s="21"/>
      <c r="L162" s="21">
        <f ca="1">IFERROR(__xludf.DUMMYFUNCTION("""COMPUTED_VALUE"""),25.4531)</f>
        <v>25.453099999999999</v>
      </c>
      <c r="M162" s="21">
        <f ca="1">IFERROR(__xludf.DUMMYFUNCTION("""COMPUTED_VALUE"""),89.82571)</f>
        <v>89.825710000000001</v>
      </c>
      <c r="N162" s="21"/>
      <c r="O16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2" s="21" t="str">
        <f ca="1">IFERROR(__xludf.DUMMYFUNCTION("""COMPUTED_VALUE"""),"ফলদ, বনজ")</f>
        <v>ফলদ, বনজ</v>
      </c>
      <c r="Q162" s="21">
        <f ca="1">IFERROR(__xludf.DUMMYFUNCTION("""COMPUTED_VALUE"""),5)</f>
        <v>5</v>
      </c>
      <c r="R162" s="21"/>
      <c r="S162" s="21"/>
      <c r="T162" s="21"/>
      <c r="U162" s="21" t="str">
        <f ca="1">IFERROR(__xludf.DUMMYFUNCTION("""COMPUTED_VALUE"""),"মোঃ গোলাম হোসেন")</f>
        <v>মোঃ গোলাম হোসেন</v>
      </c>
      <c r="V162" s="21" t="str">
        <f ca="1">IFERROR(__xludf.DUMMYFUNCTION("""COMPUTED_VALUE"""),"০১৮১৫৮১৪২২১")</f>
        <v>০১৮১৫৮১৪২২১</v>
      </c>
      <c r="W162" s="21" t="str">
        <f ca="1">IFERROR(__xludf.DUMMYFUNCTION("""COMPUTED_VALUE""")," মোঃ শাখাওয়াত হোসেন
   ")</f>
        <v xml:space="preserve"> মোঃ শাখাওয়াত হোসেন
   </v>
      </c>
      <c r="X162" s="21" t="str">
        <f ca="1">IFERROR(__xludf.DUMMYFUNCTION("""COMPUTED_VALUE"""),"০১৭৪৩৬৬৮৬৮০")</f>
        <v>০১৭৪৩৬৬৮৬৮০</v>
      </c>
      <c r="Y162" s="21"/>
      <c r="Z162" s="21"/>
      <c r="AA162" s="21"/>
      <c r="AB162" s="21"/>
      <c r="AC162" s="21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 spans="1:40" ht="15" customHeight="1" x14ac:dyDescent="0.15">
      <c r="A163" s="25"/>
      <c r="B163" s="25"/>
      <c r="C163" s="25" t="str">
        <f ca="1">IFERROR(__xludf.DUMMYFUNCTION("""COMPUTED_VALUE"""),"রংপুর")</f>
        <v>রংপুর</v>
      </c>
      <c r="D163" s="25" t="str">
        <f ca="1">IFERROR(__xludf.DUMMYFUNCTION("""COMPUTED_VALUE"""),"রংপুর")</f>
        <v>রংপুর</v>
      </c>
      <c r="E163" s="25" t="str">
        <f ca="1">IFERROR(__xludf.DUMMYFUNCTION("""COMPUTED_VALUE"""),"কুড়িগ্রাম")</f>
        <v>কুড়িগ্রাম</v>
      </c>
      <c r="F163" s="25" t="str">
        <f ca="1">IFERROR(__xludf.DUMMYFUNCTION("""COMPUTED_VALUE"""),"চর রাজিবপুর")</f>
        <v>চর রাজিবপুর</v>
      </c>
      <c r="G163" s="25"/>
      <c r="H163" s="25"/>
      <c r="I163" s="25"/>
      <c r="J163" s="25" t="str">
        <f ca="1">IFERROR(__xludf.DUMMYFUNCTION("""COMPUTED_VALUE"""),"প্রণোদনা")</f>
        <v>প্রণোদনা</v>
      </c>
      <c r="K163" s="25"/>
      <c r="L163" s="25">
        <f ca="1">IFERROR(__xludf.DUMMYFUNCTION("""COMPUTED_VALUE"""),25.43995)</f>
        <v>25.43995</v>
      </c>
      <c r="M163" s="25">
        <f ca="1">IFERROR(__xludf.DUMMYFUNCTION("""COMPUTED_VALUE"""),89.82345)</f>
        <v>89.823449999999994</v>
      </c>
      <c r="N163" s="25"/>
      <c r="O16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3" s="25" t="str">
        <f ca="1">IFERROR(__xludf.DUMMYFUNCTION("""COMPUTED_VALUE"""),"ফলদ, বনজ")</f>
        <v>ফলদ, বনজ</v>
      </c>
      <c r="Q163" s="25">
        <f ca="1">IFERROR(__xludf.DUMMYFUNCTION("""COMPUTED_VALUE"""),5)</f>
        <v>5</v>
      </c>
      <c r="R163" s="25"/>
      <c r="S163" s="25"/>
      <c r="T163" s="25"/>
      <c r="U163" s="25" t="str">
        <f ca="1">IFERROR(__xludf.DUMMYFUNCTION("""COMPUTED_VALUE"""),"মোঃ নুরুজ্জামান")</f>
        <v>মোঃ নুরুজ্জামান</v>
      </c>
      <c r="V163" s="25" t="str">
        <f ca="1">IFERROR(__xludf.DUMMYFUNCTION("""COMPUTED_VALUE"""),"০১৯৭৬১০০৬৮৬")</f>
        <v>০১৯৭৬১০০৬৮৬</v>
      </c>
      <c r="W163" s="25" t="str">
        <f ca="1">IFERROR(__xludf.DUMMYFUNCTION("""COMPUTED_VALUE""")," মোঃ শাখাওয়াত হোসেন
   ")</f>
        <v xml:space="preserve"> মোঃ শাখাওয়াত হোসেন
   </v>
      </c>
      <c r="X163" s="25" t="str">
        <f ca="1">IFERROR(__xludf.DUMMYFUNCTION("""COMPUTED_VALUE"""),"০১৭৪৩৬৬৮৬৮০")</f>
        <v>০১৭৪৩৬৬৮৬৮০</v>
      </c>
      <c r="Y163" s="25"/>
      <c r="Z163" s="25"/>
      <c r="AA163" s="25"/>
      <c r="AB163" s="25"/>
      <c r="AC163" s="25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spans="1:40" ht="15" customHeight="1" x14ac:dyDescent="0.15">
      <c r="A164" s="21"/>
      <c r="B164" s="21"/>
      <c r="C164" s="21" t="str">
        <f ca="1">IFERROR(__xludf.DUMMYFUNCTION("""COMPUTED_VALUE"""),"রংপুর")</f>
        <v>রংপুর</v>
      </c>
      <c r="D164" s="21" t="str">
        <f ca="1">IFERROR(__xludf.DUMMYFUNCTION("""COMPUTED_VALUE"""),"রংপুর")</f>
        <v>রংপুর</v>
      </c>
      <c r="E164" s="21" t="str">
        <f ca="1">IFERROR(__xludf.DUMMYFUNCTION("""COMPUTED_VALUE"""),"কুড়িগ্রাম")</f>
        <v>কুড়িগ্রাম</v>
      </c>
      <c r="F164" s="21" t="str">
        <f ca="1">IFERROR(__xludf.DUMMYFUNCTION("""COMPUTED_VALUE"""),"চর রাজিবপুর")</f>
        <v>চর রাজিবপুর</v>
      </c>
      <c r="G164" s="21"/>
      <c r="H164" s="21"/>
      <c r="I164" s="21"/>
      <c r="J164" s="21" t="str">
        <f ca="1">IFERROR(__xludf.DUMMYFUNCTION("""COMPUTED_VALUE"""),"প্রণোদনা")</f>
        <v>প্রণোদনা</v>
      </c>
      <c r="K164" s="21"/>
      <c r="L164" s="21">
        <f ca="1">IFERROR(__xludf.DUMMYFUNCTION("""COMPUTED_VALUE"""),25.43827)</f>
        <v>25.438269999999999</v>
      </c>
      <c r="M164" s="21">
        <f ca="1">IFERROR(__xludf.DUMMYFUNCTION("""COMPUTED_VALUE"""),89.82528)</f>
        <v>89.825280000000006</v>
      </c>
      <c r="N164" s="21"/>
      <c r="O16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4" s="21" t="str">
        <f ca="1">IFERROR(__xludf.DUMMYFUNCTION("""COMPUTED_VALUE"""),"ফলদ, বনজ")</f>
        <v>ফলদ, বনজ</v>
      </c>
      <c r="Q164" s="21">
        <f ca="1">IFERROR(__xludf.DUMMYFUNCTION("""COMPUTED_VALUE"""),5)</f>
        <v>5</v>
      </c>
      <c r="R164" s="21"/>
      <c r="S164" s="21"/>
      <c r="T164" s="21"/>
      <c r="U164" s="21" t="str">
        <f ca="1">IFERROR(__xludf.DUMMYFUNCTION("""COMPUTED_VALUE"""),"মোছাঃ ওযুফা  খাতুন")</f>
        <v>মোছাঃ ওযুফা  খাতুন</v>
      </c>
      <c r="V164" s="21" t="str">
        <f ca="1">IFERROR(__xludf.DUMMYFUNCTION("""COMPUTED_VALUE"""),"০১৯১০৫৩৮০০২")</f>
        <v>০১৯১০৫৩৮০০২</v>
      </c>
      <c r="W164" s="21" t="str">
        <f ca="1">IFERROR(__xludf.DUMMYFUNCTION("""COMPUTED_VALUE""")," মোঃ শাখাওয়াত হোসেন
   ")</f>
        <v xml:space="preserve"> মোঃ শাখাওয়াত হোসেন
   </v>
      </c>
      <c r="X164" s="21" t="str">
        <f ca="1">IFERROR(__xludf.DUMMYFUNCTION("""COMPUTED_VALUE"""),"০১৭৪৩৬৬৮৬৮০")</f>
        <v>০১৭৪৩৬৬৮৬৮০</v>
      </c>
      <c r="Y164" s="21"/>
      <c r="Z164" s="21"/>
      <c r="AA164" s="21"/>
      <c r="AB164" s="21"/>
      <c r="AC164" s="21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 spans="1:40" ht="15" customHeight="1" x14ac:dyDescent="0.15">
      <c r="A165" s="25"/>
      <c r="B165" s="25"/>
      <c r="C165" s="25" t="str">
        <f ca="1">IFERROR(__xludf.DUMMYFUNCTION("""COMPUTED_VALUE"""),"রংপুর")</f>
        <v>রংপুর</v>
      </c>
      <c r="D165" s="25" t="str">
        <f ca="1">IFERROR(__xludf.DUMMYFUNCTION("""COMPUTED_VALUE"""),"রংপুর")</f>
        <v>রংপুর</v>
      </c>
      <c r="E165" s="25" t="str">
        <f ca="1">IFERROR(__xludf.DUMMYFUNCTION("""COMPUTED_VALUE"""),"কুড়িগ্রাম")</f>
        <v>কুড়িগ্রাম</v>
      </c>
      <c r="F165" s="25" t="str">
        <f ca="1">IFERROR(__xludf.DUMMYFUNCTION("""COMPUTED_VALUE"""),"চর রাজিবপুর")</f>
        <v>চর রাজিবপুর</v>
      </c>
      <c r="G165" s="25"/>
      <c r="H165" s="25"/>
      <c r="I165" s="25"/>
      <c r="J165" s="25" t="str">
        <f ca="1">IFERROR(__xludf.DUMMYFUNCTION("""COMPUTED_VALUE"""),"প্রণোদনা")</f>
        <v>প্রণোদনা</v>
      </c>
      <c r="K165" s="25"/>
      <c r="L165" s="25">
        <f ca="1">IFERROR(__xludf.DUMMYFUNCTION("""COMPUTED_VALUE"""),25.43814)</f>
        <v>25.438140000000001</v>
      </c>
      <c r="M165" s="25">
        <f ca="1">IFERROR(__xludf.DUMMYFUNCTION("""COMPUTED_VALUE"""),89.82607)</f>
        <v>89.826070000000001</v>
      </c>
      <c r="N165" s="25"/>
      <c r="O16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5" s="25" t="str">
        <f ca="1">IFERROR(__xludf.DUMMYFUNCTION("""COMPUTED_VALUE"""),"ফলদ, বনজ")</f>
        <v>ফলদ, বনজ</v>
      </c>
      <c r="Q165" s="25">
        <f ca="1">IFERROR(__xludf.DUMMYFUNCTION("""COMPUTED_VALUE"""),5)</f>
        <v>5</v>
      </c>
      <c r="R165" s="25"/>
      <c r="S165" s="25"/>
      <c r="T165" s="25"/>
      <c r="U165" s="25" t="str">
        <f ca="1">IFERROR(__xludf.DUMMYFUNCTION("""COMPUTED_VALUE"""),"মোঃ ই¯্রাফিল হক")</f>
        <v>মোঃ ই¯্রাফিল হক</v>
      </c>
      <c r="V165" s="25" t="str">
        <f ca="1">IFERROR(__xludf.DUMMYFUNCTION("""COMPUTED_VALUE"""),"০১৭৪৭৫৪৯৭৯৬")</f>
        <v>০১৭৪৭৫৪৯৭৯৬</v>
      </c>
      <c r="W165" s="25" t="str">
        <f ca="1">IFERROR(__xludf.DUMMYFUNCTION("""COMPUTED_VALUE""")," মোঃ শাখাওয়াত হোসেন
   ")</f>
        <v xml:space="preserve"> মোঃ শাখাওয়াত হোসেন
   </v>
      </c>
      <c r="X165" s="25" t="str">
        <f ca="1">IFERROR(__xludf.DUMMYFUNCTION("""COMPUTED_VALUE"""),"০১৭৪৩৬৬৮৬৮০")</f>
        <v>০১৭৪৩৬৬৮৬৮০</v>
      </c>
      <c r="Y165" s="25"/>
      <c r="Z165" s="25"/>
      <c r="AA165" s="25"/>
      <c r="AB165" s="25"/>
      <c r="AC165" s="25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spans="1:40" ht="15" customHeight="1" x14ac:dyDescent="0.15">
      <c r="A166" s="21"/>
      <c r="B166" s="21"/>
      <c r="C166" s="21" t="str">
        <f ca="1">IFERROR(__xludf.DUMMYFUNCTION("""COMPUTED_VALUE"""),"রংপুর")</f>
        <v>রংপুর</v>
      </c>
      <c r="D166" s="21" t="str">
        <f ca="1">IFERROR(__xludf.DUMMYFUNCTION("""COMPUTED_VALUE"""),"রংপুর")</f>
        <v>রংপুর</v>
      </c>
      <c r="E166" s="21" t="str">
        <f ca="1">IFERROR(__xludf.DUMMYFUNCTION("""COMPUTED_VALUE"""),"কুড়িগ্রাম")</f>
        <v>কুড়িগ্রাম</v>
      </c>
      <c r="F166" s="21" t="str">
        <f ca="1">IFERROR(__xludf.DUMMYFUNCTION("""COMPUTED_VALUE"""),"চর রাজিবপুর")</f>
        <v>চর রাজিবপুর</v>
      </c>
      <c r="G166" s="21"/>
      <c r="H166" s="21"/>
      <c r="I166" s="21"/>
      <c r="J166" s="21" t="str">
        <f ca="1">IFERROR(__xludf.DUMMYFUNCTION("""COMPUTED_VALUE"""),"প্রণোদনা")</f>
        <v>প্রণোদনা</v>
      </c>
      <c r="K166" s="21"/>
      <c r="L166" s="21">
        <f ca="1">IFERROR(__xludf.DUMMYFUNCTION("""COMPUTED_VALUE"""),25.43283)</f>
        <v>25.432829999999999</v>
      </c>
      <c r="M166" s="21">
        <f ca="1">IFERROR(__xludf.DUMMYFUNCTION("""COMPUTED_VALUE"""),89.82583)</f>
        <v>89.825829999999996</v>
      </c>
      <c r="N166" s="21"/>
      <c r="O16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6" s="21" t="str">
        <f ca="1">IFERROR(__xludf.DUMMYFUNCTION("""COMPUTED_VALUE"""),"ফলদ, বনজ")</f>
        <v>ফলদ, বনজ</v>
      </c>
      <c r="Q166" s="21">
        <f ca="1">IFERROR(__xludf.DUMMYFUNCTION("""COMPUTED_VALUE"""),5)</f>
        <v>5</v>
      </c>
      <c r="R166" s="21"/>
      <c r="S166" s="21"/>
      <c r="T166" s="21"/>
      <c r="U166" s="21" t="str">
        <f ca="1">IFERROR(__xludf.DUMMYFUNCTION("""COMPUTED_VALUE"""),"মোঃ ছালাম মিয়া")</f>
        <v>মোঃ ছালাম মিয়া</v>
      </c>
      <c r="V166" s="21" t="str">
        <f ca="1">IFERROR(__xludf.DUMMYFUNCTION("""COMPUTED_VALUE"""),"০১৯৩৫৬৩৩৯২৫")</f>
        <v>০১৯৩৫৬৩৩৯২৫</v>
      </c>
      <c r="W166" s="21" t="str">
        <f ca="1">IFERROR(__xludf.DUMMYFUNCTION("""COMPUTED_VALUE""")," মোঃ শাখাওয়াত হোসেন
   ")</f>
        <v xml:space="preserve"> মোঃ শাখাওয়াত হোসেন
   </v>
      </c>
      <c r="X166" s="21" t="str">
        <f ca="1">IFERROR(__xludf.DUMMYFUNCTION("""COMPUTED_VALUE"""),"০১৭৪৩৬৬৮৬৮০")</f>
        <v>০১৭৪৩৬৬৮৬৮০</v>
      </c>
      <c r="Y166" s="21"/>
      <c r="Z166" s="21"/>
      <c r="AA166" s="21"/>
      <c r="AB166" s="21"/>
      <c r="AC166" s="21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 spans="1:40" ht="15" customHeight="1" x14ac:dyDescent="0.15">
      <c r="A167" s="25"/>
      <c r="B167" s="25"/>
      <c r="C167" s="25" t="str">
        <f ca="1">IFERROR(__xludf.DUMMYFUNCTION("""COMPUTED_VALUE"""),"রংপুর")</f>
        <v>রংপুর</v>
      </c>
      <c r="D167" s="25" t="str">
        <f ca="1">IFERROR(__xludf.DUMMYFUNCTION("""COMPUTED_VALUE"""),"রংপুর")</f>
        <v>রংপুর</v>
      </c>
      <c r="E167" s="25" t="str">
        <f ca="1">IFERROR(__xludf.DUMMYFUNCTION("""COMPUTED_VALUE"""),"কুড়িগ্রাম")</f>
        <v>কুড়িগ্রাম</v>
      </c>
      <c r="F167" s="25" t="str">
        <f ca="1">IFERROR(__xludf.DUMMYFUNCTION("""COMPUTED_VALUE"""),"চর রাজিবপুর")</f>
        <v>চর রাজিবপুর</v>
      </c>
      <c r="G167" s="25"/>
      <c r="H167" s="25"/>
      <c r="I167" s="25"/>
      <c r="J167" s="25" t="str">
        <f ca="1">IFERROR(__xludf.DUMMYFUNCTION("""COMPUTED_VALUE"""),"প্রণোদনা")</f>
        <v>প্রণোদনা</v>
      </c>
      <c r="K167" s="25"/>
      <c r="L167" s="25">
        <f ca="1">IFERROR(__xludf.DUMMYFUNCTION("""COMPUTED_VALUE"""),25.44033)</f>
        <v>25.440329999999999</v>
      </c>
      <c r="M167" s="25">
        <f ca="1">IFERROR(__xludf.DUMMYFUNCTION("""COMPUTED_VALUE"""),89.82836)</f>
        <v>89.828360000000004</v>
      </c>
      <c r="N167" s="25"/>
      <c r="O16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7" s="25" t="str">
        <f ca="1">IFERROR(__xludf.DUMMYFUNCTION("""COMPUTED_VALUE"""),"ফলদ, বনজ")</f>
        <v>ফলদ, বনজ</v>
      </c>
      <c r="Q167" s="25">
        <f ca="1">IFERROR(__xludf.DUMMYFUNCTION("""COMPUTED_VALUE"""),5)</f>
        <v>5</v>
      </c>
      <c r="R167" s="25"/>
      <c r="S167" s="25"/>
      <c r="T167" s="25"/>
      <c r="U167" s="25" t="str">
        <f ca="1">IFERROR(__xludf.DUMMYFUNCTION("""COMPUTED_VALUE"""),"মোঃ মানিক মিয়া")</f>
        <v>মোঃ মানিক মিয়া</v>
      </c>
      <c r="V167" s="25" t="str">
        <f ca="1">IFERROR(__xludf.DUMMYFUNCTION("""COMPUTED_VALUE"""),"০১৮২৯৫৪৮৯৭৬")</f>
        <v>০১৮২৯৫৪৮৯৭৬</v>
      </c>
      <c r="W167" s="25" t="str">
        <f ca="1">IFERROR(__xludf.DUMMYFUNCTION("""COMPUTED_VALUE""")," মোঃ শাখাওয়াত হোসেন
   ")</f>
        <v xml:space="preserve"> মোঃ শাখাওয়াত হোসেন
   </v>
      </c>
      <c r="X167" s="25" t="str">
        <f ca="1">IFERROR(__xludf.DUMMYFUNCTION("""COMPUTED_VALUE"""),"০১৭৪৩৬৬৮৬৮০")</f>
        <v>০১৭৪৩৬৬৮৬৮০</v>
      </c>
      <c r="Y167" s="25"/>
      <c r="Z167" s="25"/>
      <c r="AA167" s="25"/>
      <c r="AB167" s="25"/>
      <c r="AC167" s="25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spans="1:40" ht="15" customHeight="1" x14ac:dyDescent="0.15">
      <c r="A168" s="21"/>
      <c r="B168" s="21"/>
      <c r="C168" s="21" t="str">
        <f ca="1">IFERROR(__xludf.DUMMYFUNCTION("""COMPUTED_VALUE"""),"রংপুর")</f>
        <v>রংপুর</v>
      </c>
      <c r="D168" s="21" t="str">
        <f ca="1">IFERROR(__xludf.DUMMYFUNCTION("""COMPUTED_VALUE"""),"রংপুর")</f>
        <v>রংপুর</v>
      </c>
      <c r="E168" s="21" t="str">
        <f ca="1">IFERROR(__xludf.DUMMYFUNCTION("""COMPUTED_VALUE"""),"কুড়িগ্রাম")</f>
        <v>কুড়িগ্রাম</v>
      </c>
      <c r="F168" s="21" t="str">
        <f ca="1">IFERROR(__xludf.DUMMYFUNCTION("""COMPUTED_VALUE"""),"চর রাজিবপুর")</f>
        <v>চর রাজিবপুর</v>
      </c>
      <c r="G168" s="21"/>
      <c r="H168" s="21"/>
      <c r="I168" s="21"/>
      <c r="J168" s="21" t="str">
        <f ca="1">IFERROR(__xludf.DUMMYFUNCTION("""COMPUTED_VALUE"""),"প্রণোদনা")</f>
        <v>প্রণোদনা</v>
      </c>
      <c r="K168" s="21"/>
      <c r="L168" s="21">
        <f ca="1">IFERROR(__xludf.DUMMYFUNCTION("""COMPUTED_VALUE"""),25.43313)</f>
        <v>25.433129999999998</v>
      </c>
      <c r="M168" s="21">
        <f ca="1">IFERROR(__xludf.DUMMYFUNCTION("""COMPUTED_VALUE"""),89.82374)</f>
        <v>89.823740000000001</v>
      </c>
      <c r="N168" s="21"/>
      <c r="O16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8" s="21" t="str">
        <f ca="1">IFERROR(__xludf.DUMMYFUNCTION("""COMPUTED_VALUE"""),"ফলদ, বনজ")</f>
        <v>ফলদ, বনজ</v>
      </c>
      <c r="Q168" s="21">
        <f ca="1">IFERROR(__xludf.DUMMYFUNCTION("""COMPUTED_VALUE"""),5)</f>
        <v>5</v>
      </c>
      <c r="R168" s="21"/>
      <c r="S168" s="21"/>
      <c r="T168" s="21"/>
      <c r="U168" s="21" t="str">
        <f ca="1">IFERROR(__xludf.DUMMYFUNCTION("""COMPUTED_VALUE"""),"মোঃ আজিবর রহমান")</f>
        <v>মোঃ আজিবর রহমান</v>
      </c>
      <c r="V168" s="21" t="str">
        <f ca="1">IFERROR(__xludf.DUMMYFUNCTION("""COMPUTED_VALUE"""),"০১৪০১৯৬৩০৩৬")</f>
        <v>০১৪০১৯৬৩০৩৬</v>
      </c>
      <c r="W168" s="21" t="str">
        <f ca="1">IFERROR(__xludf.DUMMYFUNCTION("""COMPUTED_VALUE""")," মোঃ শাখাওয়াত হোসেন
   ")</f>
        <v xml:space="preserve"> মোঃ শাখাওয়াত হোসেন
   </v>
      </c>
      <c r="X168" s="21" t="str">
        <f ca="1">IFERROR(__xludf.DUMMYFUNCTION("""COMPUTED_VALUE"""),"০১৭৪৩৬৬৮৬৮০")</f>
        <v>০১৭৪৩৬৬৮৬৮০</v>
      </c>
      <c r="Y168" s="21"/>
      <c r="Z168" s="21"/>
      <c r="AA168" s="21"/>
      <c r="AB168" s="21"/>
      <c r="AC168" s="21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15" customHeight="1" x14ac:dyDescent="0.15">
      <c r="A169" s="25"/>
      <c r="B169" s="25"/>
      <c r="C169" s="25" t="str">
        <f ca="1">IFERROR(__xludf.DUMMYFUNCTION("""COMPUTED_VALUE"""),"রংপুর")</f>
        <v>রংপুর</v>
      </c>
      <c r="D169" s="25" t="str">
        <f ca="1">IFERROR(__xludf.DUMMYFUNCTION("""COMPUTED_VALUE"""),"রংপুর")</f>
        <v>রংপুর</v>
      </c>
      <c r="E169" s="25" t="str">
        <f ca="1">IFERROR(__xludf.DUMMYFUNCTION("""COMPUTED_VALUE"""),"কুড়িগ্রাম")</f>
        <v>কুড়িগ্রাম</v>
      </c>
      <c r="F169" s="25" t="str">
        <f ca="1">IFERROR(__xludf.DUMMYFUNCTION("""COMPUTED_VALUE"""),"চর রাজিবপুর")</f>
        <v>চর রাজিবপুর</v>
      </c>
      <c r="G169" s="25"/>
      <c r="H169" s="25"/>
      <c r="I169" s="25"/>
      <c r="J169" s="25" t="str">
        <f ca="1">IFERROR(__xludf.DUMMYFUNCTION("""COMPUTED_VALUE"""),"প্রণোদনা")</f>
        <v>প্রণোদনা</v>
      </c>
      <c r="K169" s="25"/>
      <c r="L169" s="25">
        <f ca="1">IFERROR(__xludf.DUMMYFUNCTION("""COMPUTED_VALUE"""),25.44095)</f>
        <v>25.440950000000001</v>
      </c>
      <c r="M169" s="25">
        <f ca="1">IFERROR(__xludf.DUMMYFUNCTION("""COMPUTED_VALUE"""),89.82433)</f>
        <v>89.824330000000003</v>
      </c>
      <c r="N169" s="25"/>
      <c r="O16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9" s="25" t="str">
        <f ca="1">IFERROR(__xludf.DUMMYFUNCTION("""COMPUTED_VALUE"""),"ফলদ, বনজ")</f>
        <v>ফলদ, বনজ</v>
      </c>
      <c r="Q169" s="25">
        <f ca="1">IFERROR(__xludf.DUMMYFUNCTION("""COMPUTED_VALUE"""),5)</f>
        <v>5</v>
      </c>
      <c r="R169" s="25"/>
      <c r="S169" s="25"/>
      <c r="T169" s="25"/>
      <c r="U169" s="25" t="str">
        <f ca="1">IFERROR(__xludf.DUMMYFUNCTION("""COMPUTED_VALUE"""),"মোঃ আইজুল ইসলাম")</f>
        <v>মোঃ আইজুল ইসলাম</v>
      </c>
      <c r="V169" s="25" t="str">
        <f ca="1">IFERROR(__xludf.DUMMYFUNCTION("""COMPUTED_VALUE"""),"০১৯৮৭৮৭৯৩৭৮")</f>
        <v>০১৯৮৭৮৭৯৩৭৮</v>
      </c>
      <c r="W169" s="25" t="str">
        <f ca="1">IFERROR(__xludf.DUMMYFUNCTION("""COMPUTED_VALUE""")," মোঃ শাখাওয়াত হোসেন
   ")</f>
        <v xml:space="preserve"> মোঃ শাখাওয়াত হোসেন
   </v>
      </c>
      <c r="X169" s="25" t="str">
        <f ca="1">IFERROR(__xludf.DUMMYFUNCTION("""COMPUTED_VALUE"""),"০১৭৪৩৬৬৮৬৮০")</f>
        <v>০১৭৪৩৬৬৮৬৮০</v>
      </c>
      <c r="Y169" s="25"/>
      <c r="Z169" s="25"/>
      <c r="AA169" s="25"/>
      <c r="AB169" s="25"/>
      <c r="AC169" s="25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spans="1:40" ht="15" customHeight="1" x14ac:dyDescent="0.15">
      <c r="A170" s="21"/>
      <c r="B170" s="21"/>
      <c r="C170" s="21" t="str">
        <f ca="1">IFERROR(__xludf.DUMMYFUNCTION("""COMPUTED_VALUE"""),"রংপুর")</f>
        <v>রংপুর</v>
      </c>
      <c r="D170" s="21" t="str">
        <f ca="1">IFERROR(__xludf.DUMMYFUNCTION("""COMPUTED_VALUE"""),"রংপুর")</f>
        <v>রংপুর</v>
      </c>
      <c r="E170" s="21" t="str">
        <f ca="1">IFERROR(__xludf.DUMMYFUNCTION("""COMPUTED_VALUE"""),"কুড়িগ্রাম")</f>
        <v>কুড়িগ্রাম</v>
      </c>
      <c r="F170" s="21" t="str">
        <f ca="1">IFERROR(__xludf.DUMMYFUNCTION("""COMPUTED_VALUE"""),"চর রাজিবপুর")</f>
        <v>চর রাজিবপুর</v>
      </c>
      <c r="G170" s="21"/>
      <c r="H170" s="21"/>
      <c r="I170" s="21"/>
      <c r="J170" s="21" t="str">
        <f ca="1">IFERROR(__xludf.DUMMYFUNCTION("""COMPUTED_VALUE"""),"প্রণোদনা")</f>
        <v>প্রণোদনা</v>
      </c>
      <c r="K170" s="21"/>
      <c r="L170" s="21">
        <f ca="1">IFERROR(__xludf.DUMMYFUNCTION("""COMPUTED_VALUE"""),25.4384)</f>
        <v>25.438400000000001</v>
      </c>
      <c r="M170" s="21">
        <f ca="1">IFERROR(__xludf.DUMMYFUNCTION("""COMPUTED_VALUE"""),89.82476)</f>
        <v>89.824759999999998</v>
      </c>
      <c r="N170" s="21"/>
      <c r="O17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0" s="21" t="str">
        <f ca="1">IFERROR(__xludf.DUMMYFUNCTION("""COMPUTED_VALUE"""),"ফলদ, বনজ")</f>
        <v>ফলদ, বনজ</v>
      </c>
      <c r="Q170" s="21">
        <f ca="1">IFERROR(__xludf.DUMMYFUNCTION("""COMPUTED_VALUE"""),5)</f>
        <v>5</v>
      </c>
      <c r="R170" s="21"/>
      <c r="S170" s="21"/>
      <c r="T170" s="21"/>
      <c r="U170" s="21" t="str">
        <f ca="1">IFERROR(__xludf.DUMMYFUNCTION("""COMPUTED_VALUE"""),"মোঃ নজরুল ইসলাম")</f>
        <v>মোঃ নজরুল ইসলাম</v>
      </c>
      <c r="V170" s="21" t="str">
        <f ca="1">IFERROR(__xludf.DUMMYFUNCTION("""COMPUTED_VALUE"""),"০১৯১৪২৯০৭৬২")</f>
        <v>০১৯১৪২৯০৭৬২</v>
      </c>
      <c r="W170" s="21" t="str">
        <f ca="1">IFERROR(__xludf.DUMMYFUNCTION("""COMPUTED_VALUE""")," মোঃ শাখাওয়াত হোসেন
   ")</f>
        <v xml:space="preserve"> মোঃ শাখাওয়াত হোসেন
   </v>
      </c>
      <c r="X170" s="21" t="str">
        <f ca="1">IFERROR(__xludf.DUMMYFUNCTION("""COMPUTED_VALUE"""),"০১৭৪৩৬৬৮৬৮০")</f>
        <v>০১৭৪৩৬৬৮৬৮০</v>
      </c>
      <c r="Y170" s="21"/>
      <c r="Z170" s="21"/>
      <c r="AA170" s="21"/>
      <c r="AB170" s="21"/>
      <c r="AC170" s="21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15" customHeight="1" x14ac:dyDescent="0.15">
      <c r="A171" s="25"/>
      <c r="B171" s="25"/>
      <c r="C171" s="25" t="str">
        <f ca="1">IFERROR(__xludf.DUMMYFUNCTION("""COMPUTED_VALUE"""),"রংপুর")</f>
        <v>রংপুর</v>
      </c>
      <c r="D171" s="25" t="str">
        <f ca="1">IFERROR(__xludf.DUMMYFUNCTION("""COMPUTED_VALUE"""),"রংপুর")</f>
        <v>রংপুর</v>
      </c>
      <c r="E171" s="25" t="str">
        <f ca="1">IFERROR(__xludf.DUMMYFUNCTION("""COMPUTED_VALUE"""),"কুড়িগ্রাম")</f>
        <v>কুড়িগ্রাম</v>
      </c>
      <c r="F171" s="25" t="str">
        <f ca="1">IFERROR(__xludf.DUMMYFUNCTION("""COMPUTED_VALUE"""),"চর রাজিবপুর")</f>
        <v>চর রাজিবপুর</v>
      </c>
      <c r="G171" s="25"/>
      <c r="H171" s="25"/>
      <c r="I171" s="25"/>
      <c r="J171" s="25" t="str">
        <f ca="1">IFERROR(__xludf.DUMMYFUNCTION("""COMPUTED_VALUE"""),"প্রণোদনা")</f>
        <v>প্রণোদনা</v>
      </c>
      <c r="K171" s="25"/>
      <c r="L171" s="25">
        <f ca="1">IFERROR(__xludf.DUMMYFUNCTION("""COMPUTED_VALUE"""),25.49897)</f>
        <v>25.49897</v>
      </c>
      <c r="M171" s="25">
        <f ca="1">IFERROR(__xludf.DUMMYFUNCTION("""COMPUTED_VALUE"""),89.82783)</f>
        <v>89.827830000000006</v>
      </c>
      <c r="N171" s="25"/>
      <c r="O17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1" s="25" t="str">
        <f ca="1">IFERROR(__xludf.DUMMYFUNCTION("""COMPUTED_VALUE"""),"ফলদ, বনজ")</f>
        <v>ফলদ, বনজ</v>
      </c>
      <c r="Q171" s="25">
        <f ca="1">IFERROR(__xludf.DUMMYFUNCTION("""COMPUTED_VALUE"""),5)</f>
        <v>5</v>
      </c>
      <c r="R171" s="25"/>
      <c r="S171" s="25"/>
      <c r="T171" s="25"/>
      <c r="U171" s="25" t="str">
        <f ca="1">IFERROR(__xludf.DUMMYFUNCTION("""COMPUTED_VALUE"""),"মোঃ সফিউর রহমান")</f>
        <v>মোঃ সফিউর রহমান</v>
      </c>
      <c r="V171" s="25" t="str">
        <f ca="1">IFERROR(__xludf.DUMMYFUNCTION("""COMPUTED_VALUE"""),"০১৯৮৭৮৭৯৩৭৮")</f>
        <v>০১৯৮৭৮৭৯৩৭৮</v>
      </c>
      <c r="W171" s="25" t="str">
        <f ca="1">IFERROR(__xludf.DUMMYFUNCTION("""COMPUTED_VALUE""")," মোঃ শাখাওয়াত হোসেন
   ")</f>
        <v xml:space="preserve"> মোঃ শাখাওয়াত হোসেন
   </v>
      </c>
      <c r="X171" s="25" t="str">
        <f ca="1">IFERROR(__xludf.DUMMYFUNCTION("""COMPUTED_VALUE"""),"০১৭৪৩৬৬৮৬৮০")</f>
        <v>০১৭৪৩৬৬৮৬৮০</v>
      </c>
      <c r="Y171" s="25"/>
      <c r="Z171" s="25"/>
      <c r="AA171" s="25"/>
      <c r="AB171" s="25"/>
      <c r="AC171" s="25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spans="1:40" ht="15" customHeight="1" x14ac:dyDescent="0.15">
      <c r="A172" s="21"/>
      <c r="B172" s="21"/>
      <c r="C172" s="21" t="str">
        <f ca="1">IFERROR(__xludf.DUMMYFUNCTION("""COMPUTED_VALUE"""),"রংপুর")</f>
        <v>রংপুর</v>
      </c>
      <c r="D172" s="21" t="str">
        <f ca="1">IFERROR(__xludf.DUMMYFUNCTION("""COMPUTED_VALUE"""),"রংপুর")</f>
        <v>রংপুর</v>
      </c>
      <c r="E172" s="21" t="str">
        <f ca="1">IFERROR(__xludf.DUMMYFUNCTION("""COMPUTED_VALUE"""),"কুড়িগ্রাম")</f>
        <v>কুড়িগ্রাম</v>
      </c>
      <c r="F172" s="21" t="str">
        <f ca="1">IFERROR(__xludf.DUMMYFUNCTION("""COMPUTED_VALUE"""),"চর রাজিবপুর")</f>
        <v>চর রাজিবপুর</v>
      </c>
      <c r="G172" s="21"/>
      <c r="H172" s="21"/>
      <c r="I172" s="21"/>
      <c r="J172" s="21" t="str">
        <f ca="1">IFERROR(__xludf.DUMMYFUNCTION("""COMPUTED_VALUE"""),"প্রণোদনা")</f>
        <v>প্রণোদনা</v>
      </c>
      <c r="K172" s="21"/>
      <c r="L172" s="21">
        <f ca="1">IFERROR(__xludf.DUMMYFUNCTION("""COMPUTED_VALUE"""),25.43863)</f>
        <v>25.43863</v>
      </c>
      <c r="M172" s="21">
        <f ca="1">IFERROR(__xludf.DUMMYFUNCTION("""COMPUTED_VALUE"""),89.82468)</f>
        <v>89.824680000000001</v>
      </c>
      <c r="N172" s="21"/>
      <c r="O17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2" s="21" t="str">
        <f ca="1">IFERROR(__xludf.DUMMYFUNCTION("""COMPUTED_VALUE"""),"ফলদ, বনজ")</f>
        <v>ফলদ, বনজ</v>
      </c>
      <c r="Q172" s="21">
        <f ca="1">IFERROR(__xludf.DUMMYFUNCTION("""COMPUTED_VALUE"""),5)</f>
        <v>5</v>
      </c>
      <c r="R172" s="21"/>
      <c r="S172" s="21"/>
      <c r="T172" s="21"/>
      <c r="U172" s="21" t="str">
        <f ca="1">IFERROR(__xludf.DUMMYFUNCTION("""COMPUTED_VALUE"""),"মোঃ সফিকুল ইসলাম")</f>
        <v>মোঃ সফিকুল ইসলাম</v>
      </c>
      <c r="V172" s="21" t="str">
        <f ca="1">IFERROR(__xludf.DUMMYFUNCTION("""COMPUTED_VALUE"""),"০১৯২৬৪৬১২০৭")</f>
        <v>০১৯২৬৪৬১২০৭</v>
      </c>
      <c r="W172" s="21" t="str">
        <f ca="1">IFERROR(__xludf.DUMMYFUNCTION("""COMPUTED_VALUE""")," মোঃ শাখাওয়াত হোসেন
   ")</f>
        <v xml:space="preserve"> মোঃ শাখাওয়াত হোসেন
   </v>
      </c>
      <c r="X172" s="21" t="str">
        <f ca="1">IFERROR(__xludf.DUMMYFUNCTION("""COMPUTED_VALUE"""),"০১৭৪৩৬৬৮৬৮০")</f>
        <v>০১৭৪৩৬৬৮৬৮০</v>
      </c>
      <c r="Y172" s="21"/>
      <c r="Z172" s="21"/>
      <c r="AA172" s="21"/>
      <c r="AB172" s="21"/>
      <c r="AC172" s="21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 spans="1:40" ht="15" customHeight="1" x14ac:dyDescent="0.15">
      <c r="A173" s="25"/>
      <c r="B173" s="25"/>
      <c r="C173" s="25" t="str">
        <f ca="1">IFERROR(__xludf.DUMMYFUNCTION("""COMPUTED_VALUE"""),"রংপুর")</f>
        <v>রংপুর</v>
      </c>
      <c r="D173" s="25" t="str">
        <f ca="1">IFERROR(__xludf.DUMMYFUNCTION("""COMPUTED_VALUE"""),"রংপুর")</f>
        <v>রংপুর</v>
      </c>
      <c r="E173" s="25" t="str">
        <f ca="1">IFERROR(__xludf.DUMMYFUNCTION("""COMPUTED_VALUE"""),"কুড়িগ্রাম")</f>
        <v>কুড়িগ্রাম</v>
      </c>
      <c r="F173" s="25" t="str">
        <f ca="1">IFERROR(__xludf.DUMMYFUNCTION("""COMPUTED_VALUE"""),"চর রাজিবপুর")</f>
        <v>চর রাজিবপুর</v>
      </c>
      <c r="G173" s="25"/>
      <c r="H173" s="25"/>
      <c r="I173" s="25"/>
      <c r="J173" s="25" t="str">
        <f ca="1">IFERROR(__xludf.DUMMYFUNCTION("""COMPUTED_VALUE"""),"প্রণোদনা")</f>
        <v>প্রণোদনা</v>
      </c>
      <c r="K173" s="25"/>
      <c r="L173" s="25">
        <f ca="1">IFERROR(__xludf.DUMMYFUNCTION("""COMPUTED_VALUE"""),25.44089)</f>
        <v>25.44089</v>
      </c>
      <c r="M173" s="25">
        <f ca="1">IFERROR(__xludf.DUMMYFUNCTION("""COMPUTED_VALUE"""),89.82812)</f>
        <v>89.828119999999998</v>
      </c>
      <c r="N173" s="25"/>
      <c r="O17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3" s="25" t="str">
        <f ca="1">IFERROR(__xludf.DUMMYFUNCTION("""COMPUTED_VALUE"""),"ফলদ, বনজ")</f>
        <v>ফলদ, বনজ</v>
      </c>
      <c r="Q173" s="25">
        <f ca="1">IFERROR(__xludf.DUMMYFUNCTION("""COMPUTED_VALUE"""),5)</f>
        <v>5</v>
      </c>
      <c r="R173" s="25"/>
      <c r="S173" s="25"/>
      <c r="T173" s="25"/>
      <c r="U173" s="25" t="str">
        <f ca="1">IFERROR(__xludf.DUMMYFUNCTION("""COMPUTED_VALUE"""),"মোঃ রাশেদুল ইসলাম")</f>
        <v>মোঃ রাশেদুল ইসলাম</v>
      </c>
      <c r="V173" s="25" t="str">
        <f ca="1">IFERROR(__xludf.DUMMYFUNCTION("""COMPUTED_VALUE"""),"০১৯২০৪১০৪২৭")</f>
        <v>০১৯২০৪১০৪২৭</v>
      </c>
      <c r="W173" s="25" t="str">
        <f ca="1">IFERROR(__xludf.DUMMYFUNCTION("""COMPUTED_VALUE""")," মোঃ শাখাওয়াত হোসেন
   ")</f>
        <v xml:space="preserve"> মোঃ শাখাওয়াত হোসেন
   </v>
      </c>
      <c r="X173" s="25" t="str">
        <f ca="1">IFERROR(__xludf.DUMMYFUNCTION("""COMPUTED_VALUE"""),"০১৭৪৩৬৬৮৬৮০")</f>
        <v>০১৭৪৩৬৬৮৬৮০</v>
      </c>
      <c r="Y173" s="25"/>
      <c r="Z173" s="25"/>
      <c r="AA173" s="25"/>
      <c r="AB173" s="25"/>
      <c r="AC173" s="25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spans="1:40" ht="15" customHeight="1" x14ac:dyDescent="0.15">
      <c r="A174" s="21"/>
      <c r="B174" s="21"/>
      <c r="C174" s="21" t="str">
        <f ca="1">IFERROR(__xludf.DUMMYFUNCTION("""COMPUTED_VALUE"""),"রংপুর")</f>
        <v>রংপুর</v>
      </c>
      <c r="D174" s="21" t="str">
        <f ca="1">IFERROR(__xludf.DUMMYFUNCTION("""COMPUTED_VALUE"""),"রংপুর")</f>
        <v>রংপুর</v>
      </c>
      <c r="E174" s="21" t="str">
        <f ca="1">IFERROR(__xludf.DUMMYFUNCTION("""COMPUTED_VALUE"""),"কুড়িগ্রাম")</f>
        <v>কুড়িগ্রাম</v>
      </c>
      <c r="F174" s="21" t="str">
        <f ca="1">IFERROR(__xludf.DUMMYFUNCTION("""COMPUTED_VALUE"""),"চর রাজিবপুর")</f>
        <v>চর রাজিবপুর</v>
      </c>
      <c r="G174" s="21"/>
      <c r="H174" s="21"/>
      <c r="I174" s="21"/>
      <c r="J174" s="21" t="str">
        <f ca="1">IFERROR(__xludf.DUMMYFUNCTION("""COMPUTED_VALUE"""),"প্রণোদনা")</f>
        <v>প্রণোদনা</v>
      </c>
      <c r="K174" s="21"/>
      <c r="L174" s="21">
        <f ca="1">IFERROR(__xludf.DUMMYFUNCTION("""COMPUTED_VALUE"""),25.4388)</f>
        <v>25.438800000000001</v>
      </c>
      <c r="M174" s="21">
        <f ca="1">IFERROR(__xludf.DUMMYFUNCTION("""COMPUTED_VALUE"""),89.82367)</f>
        <v>89.823670000000007</v>
      </c>
      <c r="N174" s="21"/>
      <c r="O17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4" s="21" t="str">
        <f ca="1">IFERROR(__xludf.DUMMYFUNCTION("""COMPUTED_VALUE"""),"ফলদ, বনজ")</f>
        <v>ফলদ, বনজ</v>
      </c>
      <c r="Q174" s="21">
        <f ca="1">IFERROR(__xludf.DUMMYFUNCTION("""COMPUTED_VALUE"""),5)</f>
        <v>5</v>
      </c>
      <c r="R174" s="21"/>
      <c r="S174" s="21"/>
      <c r="T174" s="21"/>
      <c r="U174" s="21" t="str">
        <f ca="1">IFERROR(__xludf.DUMMYFUNCTION("""COMPUTED_VALUE"""),"মোঃ মোনাহার আলী")</f>
        <v>মোঃ মোনাহার আলী</v>
      </c>
      <c r="V174" s="21" t="str">
        <f ca="1">IFERROR(__xludf.DUMMYFUNCTION("""COMPUTED_VALUE"""),"০১৩৪৩৮১৯৪৭৭")</f>
        <v>০১৩৪৩৮১৯৪৭৭</v>
      </c>
      <c r="W174" s="21" t="str">
        <f ca="1">IFERROR(__xludf.DUMMYFUNCTION("""COMPUTED_VALUE""")," মোঃ শাখাওয়াত হোসেন
   ")</f>
        <v xml:space="preserve"> মোঃ শাখাওয়াত হোসেন
   </v>
      </c>
      <c r="X174" s="21" t="str">
        <f ca="1">IFERROR(__xludf.DUMMYFUNCTION("""COMPUTED_VALUE"""),"০১৭৪৩৬৬৮৬৮০")</f>
        <v>০১৭৪৩৬৬৮৬৮০</v>
      </c>
      <c r="Y174" s="21"/>
      <c r="Z174" s="21"/>
      <c r="AA174" s="21"/>
      <c r="AB174" s="21"/>
      <c r="AC174" s="21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 spans="1:40" ht="15" customHeight="1" x14ac:dyDescent="0.15">
      <c r="A175" s="25"/>
      <c r="B175" s="25"/>
      <c r="C175" s="25" t="str">
        <f ca="1">IFERROR(__xludf.DUMMYFUNCTION("""COMPUTED_VALUE"""),"রংপুর")</f>
        <v>রংপুর</v>
      </c>
      <c r="D175" s="25" t="str">
        <f ca="1">IFERROR(__xludf.DUMMYFUNCTION("""COMPUTED_VALUE"""),"রংপুর")</f>
        <v>রংপুর</v>
      </c>
      <c r="E175" s="25" t="str">
        <f ca="1">IFERROR(__xludf.DUMMYFUNCTION("""COMPUTED_VALUE"""),"কুড়িগ্রাম")</f>
        <v>কুড়িগ্রাম</v>
      </c>
      <c r="F175" s="25" t="str">
        <f ca="1">IFERROR(__xludf.DUMMYFUNCTION("""COMPUTED_VALUE"""),"চর রাজিবপুর")</f>
        <v>চর রাজিবপুর</v>
      </c>
      <c r="G175" s="25"/>
      <c r="H175" s="25"/>
      <c r="I175" s="25"/>
      <c r="J175" s="25" t="str">
        <f ca="1">IFERROR(__xludf.DUMMYFUNCTION("""COMPUTED_VALUE"""),"প্রণোদনা")</f>
        <v>প্রণোদনা</v>
      </c>
      <c r="K175" s="25"/>
      <c r="L175" s="25">
        <f ca="1">IFERROR(__xludf.DUMMYFUNCTION("""COMPUTED_VALUE"""),25.43369)</f>
        <v>25.433689999999999</v>
      </c>
      <c r="M175" s="25">
        <f ca="1">IFERROR(__xludf.DUMMYFUNCTION("""COMPUTED_VALUE"""),89.82366)</f>
        <v>89.823660000000004</v>
      </c>
      <c r="N175" s="25"/>
      <c r="O17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5" s="25" t="str">
        <f ca="1">IFERROR(__xludf.DUMMYFUNCTION("""COMPUTED_VALUE"""),"ফলদ, বনজ")</f>
        <v>ফলদ, বনজ</v>
      </c>
      <c r="Q175" s="25">
        <f ca="1">IFERROR(__xludf.DUMMYFUNCTION("""COMPUTED_VALUE"""),5)</f>
        <v>5</v>
      </c>
      <c r="R175" s="25"/>
      <c r="S175" s="25"/>
      <c r="T175" s="25"/>
      <c r="U175" s="25" t="str">
        <f ca="1">IFERROR(__xludf.DUMMYFUNCTION("""COMPUTED_VALUE"""),"মোঃ মৈনুদ্দিন")</f>
        <v>মোঃ মৈনুদ্দিন</v>
      </c>
      <c r="V175" s="25" t="str">
        <f ca="1">IFERROR(__xludf.DUMMYFUNCTION("""COMPUTED_VALUE"""),"০১৯৩৪০৫২৪৯৪")</f>
        <v>০১৯৩৪০৫২৪৯৪</v>
      </c>
      <c r="W175" s="25" t="str">
        <f ca="1">IFERROR(__xludf.DUMMYFUNCTION("""COMPUTED_VALUE""")," মোঃ শাখাওয়াত হোসেন
   ")</f>
        <v xml:space="preserve"> মোঃ শাখাওয়াত হোসেন
   </v>
      </c>
      <c r="X175" s="25" t="str">
        <f ca="1">IFERROR(__xludf.DUMMYFUNCTION("""COMPUTED_VALUE"""),"০১৭৪৩৬৬৮৬৮০")</f>
        <v>০১৭৪৩৬৬৮৬৮০</v>
      </c>
      <c r="Y175" s="25"/>
      <c r="Z175" s="25"/>
      <c r="AA175" s="25"/>
      <c r="AB175" s="25"/>
      <c r="AC175" s="25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spans="1:40" ht="15" customHeight="1" x14ac:dyDescent="0.15">
      <c r="A176" s="21"/>
      <c r="B176" s="21"/>
      <c r="C176" s="21" t="str">
        <f ca="1">IFERROR(__xludf.DUMMYFUNCTION("""COMPUTED_VALUE"""),"রংপুর")</f>
        <v>রংপুর</v>
      </c>
      <c r="D176" s="21" t="str">
        <f ca="1">IFERROR(__xludf.DUMMYFUNCTION("""COMPUTED_VALUE"""),"রংপুর")</f>
        <v>রংপুর</v>
      </c>
      <c r="E176" s="21" t="str">
        <f ca="1">IFERROR(__xludf.DUMMYFUNCTION("""COMPUTED_VALUE"""),"কুড়িগ্রাম")</f>
        <v>কুড়িগ্রাম</v>
      </c>
      <c r="F176" s="21" t="str">
        <f ca="1">IFERROR(__xludf.DUMMYFUNCTION("""COMPUTED_VALUE"""),"চর রাজিবপুর")</f>
        <v>চর রাজিবপুর</v>
      </c>
      <c r="G176" s="21"/>
      <c r="H176" s="21"/>
      <c r="I176" s="21"/>
      <c r="J176" s="21" t="str">
        <f ca="1">IFERROR(__xludf.DUMMYFUNCTION("""COMPUTED_VALUE"""),"প্রণোদনা")</f>
        <v>প্রণোদনা</v>
      </c>
      <c r="K176" s="21"/>
      <c r="L176" s="21">
        <f ca="1">IFERROR(__xludf.DUMMYFUNCTION("""COMPUTED_VALUE"""),25.4383)</f>
        <v>25.438300000000002</v>
      </c>
      <c r="M176" s="21">
        <f ca="1">IFERROR(__xludf.DUMMYFUNCTION("""COMPUTED_VALUE"""),89.82489)</f>
        <v>89.824889999999996</v>
      </c>
      <c r="N176" s="21"/>
      <c r="O17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6" s="21" t="str">
        <f ca="1">IFERROR(__xludf.DUMMYFUNCTION("""COMPUTED_VALUE"""),"ফলদ, বনজ")</f>
        <v>ফলদ, বনজ</v>
      </c>
      <c r="Q176" s="21">
        <f ca="1">IFERROR(__xludf.DUMMYFUNCTION("""COMPUTED_VALUE"""),5)</f>
        <v>5</v>
      </c>
      <c r="R176" s="21"/>
      <c r="S176" s="21"/>
      <c r="T176" s="21"/>
      <c r="U176" s="21" t="str">
        <f ca="1">IFERROR(__xludf.DUMMYFUNCTION("""COMPUTED_VALUE"""),"মোছাঃ কহিনুর")</f>
        <v>মোছাঃ কহিনুর</v>
      </c>
      <c r="V176" s="21" t="str">
        <f ca="1">IFERROR(__xludf.DUMMYFUNCTION("""COMPUTED_VALUE"""),"০১৯৮৪৩৫৭০৮")</f>
        <v>০১৯৮৪৩৫৭০৮</v>
      </c>
      <c r="W176" s="21" t="str">
        <f ca="1">IFERROR(__xludf.DUMMYFUNCTION("""COMPUTED_VALUE""")," মোঃ শাখাওয়াত হোসেন
   ")</f>
        <v xml:space="preserve"> মোঃ শাখাওয়াত হোসেন
   </v>
      </c>
      <c r="X176" s="21" t="str">
        <f ca="1">IFERROR(__xludf.DUMMYFUNCTION("""COMPUTED_VALUE"""),"০১৭৪৩৬৬৮৬৮০")</f>
        <v>০১৭৪৩৬৬৮৬৮০</v>
      </c>
      <c r="Y176" s="21"/>
      <c r="Z176" s="21"/>
      <c r="AA176" s="21"/>
      <c r="AB176" s="21"/>
      <c r="AC176" s="21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 spans="1:40" ht="15" customHeight="1" x14ac:dyDescent="0.15">
      <c r="A177" s="25"/>
      <c r="B177" s="25"/>
      <c r="C177" s="25" t="str">
        <f ca="1">IFERROR(__xludf.DUMMYFUNCTION("""COMPUTED_VALUE"""),"রংপুর")</f>
        <v>রংপুর</v>
      </c>
      <c r="D177" s="25" t="str">
        <f ca="1">IFERROR(__xludf.DUMMYFUNCTION("""COMPUTED_VALUE"""),"রংপুর")</f>
        <v>রংপুর</v>
      </c>
      <c r="E177" s="25" t="str">
        <f ca="1">IFERROR(__xludf.DUMMYFUNCTION("""COMPUTED_VALUE"""),"কুড়িগ্রাম")</f>
        <v>কুড়িগ্রাম</v>
      </c>
      <c r="F177" s="25" t="str">
        <f ca="1">IFERROR(__xludf.DUMMYFUNCTION("""COMPUTED_VALUE"""),"চর রাজিবপুর")</f>
        <v>চর রাজিবপুর</v>
      </c>
      <c r="G177" s="25"/>
      <c r="H177" s="25"/>
      <c r="I177" s="25"/>
      <c r="J177" s="25" t="str">
        <f ca="1">IFERROR(__xludf.DUMMYFUNCTION("""COMPUTED_VALUE"""),"প্রণোদনা")</f>
        <v>প্রণোদনা</v>
      </c>
      <c r="K177" s="25"/>
      <c r="L177" s="25">
        <f ca="1">IFERROR(__xludf.DUMMYFUNCTION("""COMPUTED_VALUE"""),25.43891)</f>
        <v>25.43891</v>
      </c>
      <c r="M177" s="25">
        <f ca="1">IFERROR(__xludf.DUMMYFUNCTION("""COMPUTED_VALUE"""),89.82782)</f>
        <v>89.827820000000003</v>
      </c>
      <c r="N177" s="25"/>
      <c r="O17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7" s="25" t="str">
        <f ca="1">IFERROR(__xludf.DUMMYFUNCTION("""COMPUTED_VALUE"""),"ফলদ, বনজ")</f>
        <v>ফলদ, বনজ</v>
      </c>
      <c r="Q177" s="25">
        <f ca="1">IFERROR(__xludf.DUMMYFUNCTION("""COMPUTED_VALUE"""),5)</f>
        <v>5</v>
      </c>
      <c r="R177" s="25"/>
      <c r="S177" s="25"/>
      <c r="T177" s="25"/>
      <c r="U177" s="25" t="str">
        <f ca="1">IFERROR(__xludf.DUMMYFUNCTION("""COMPUTED_VALUE"""),"মোঃ তারু মিয়া")</f>
        <v>মোঃ তারু মিয়া</v>
      </c>
      <c r="V177" s="25" t="str">
        <f ca="1">IFERROR(__xludf.DUMMYFUNCTION("""COMPUTED_VALUE"""),"০১৯৬২০৯৫৯৮")</f>
        <v>০১৯৬২০৯৫৯৮</v>
      </c>
      <c r="W177" s="25" t="str">
        <f ca="1">IFERROR(__xludf.DUMMYFUNCTION("""COMPUTED_VALUE""")," মোঃ শাখাওয়াত হোসেন
   ")</f>
        <v xml:space="preserve"> মোঃ শাখাওয়াত হোসেন
   </v>
      </c>
      <c r="X177" s="25" t="str">
        <f ca="1">IFERROR(__xludf.DUMMYFUNCTION("""COMPUTED_VALUE"""),"০১৭৪৩৬৬৮৬৮০")</f>
        <v>০১৭৪৩৬৬৮৬৮০</v>
      </c>
      <c r="Y177" s="25"/>
      <c r="Z177" s="25"/>
      <c r="AA177" s="25"/>
      <c r="AB177" s="25"/>
      <c r="AC177" s="25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spans="1:40" ht="15" customHeight="1" x14ac:dyDescent="0.15">
      <c r="A178" s="21"/>
      <c r="B178" s="21"/>
      <c r="C178" s="21" t="str">
        <f ca="1">IFERROR(__xludf.DUMMYFUNCTION("""COMPUTED_VALUE"""),"রংপুর")</f>
        <v>রংপুর</v>
      </c>
      <c r="D178" s="21" t="str">
        <f ca="1">IFERROR(__xludf.DUMMYFUNCTION("""COMPUTED_VALUE"""),"রংপুর")</f>
        <v>রংপুর</v>
      </c>
      <c r="E178" s="21" t="str">
        <f ca="1">IFERROR(__xludf.DUMMYFUNCTION("""COMPUTED_VALUE"""),"কুড়িগ্রাম")</f>
        <v>কুড়িগ্রাম</v>
      </c>
      <c r="F178" s="21" t="str">
        <f ca="1">IFERROR(__xludf.DUMMYFUNCTION("""COMPUTED_VALUE"""),"চর রাজিবপুর")</f>
        <v>চর রাজিবপুর</v>
      </c>
      <c r="G178" s="21"/>
      <c r="H178" s="21"/>
      <c r="I178" s="21"/>
      <c r="J178" s="21" t="str">
        <f ca="1">IFERROR(__xludf.DUMMYFUNCTION("""COMPUTED_VALUE"""),"প্রণোদনা")</f>
        <v>প্রণোদনা</v>
      </c>
      <c r="K178" s="21"/>
      <c r="L178" s="21">
        <f ca="1">IFERROR(__xludf.DUMMYFUNCTION("""COMPUTED_VALUE"""),25.413209)</f>
        <v>25.413208999999998</v>
      </c>
      <c r="M178" s="21">
        <f ca="1">IFERROR(__xludf.DUMMYFUNCTION("""COMPUTED_VALUE"""),89.767715)</f>
        <v>89.767714999999995</v>
      </c>
      <c r="N178" s="21"/>
      <c r="O17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8" s="21" t="str">
        <f ca="1">IFERROR(__xludf.DUMMYFUNCTION("""COMPUTED_VALUE"""),"ফলদ, বনজ")</f>
        <v>ফলদ, বনজ</v>
      </c>
      <c r="Q178" s="21">
        <f ca="1">IFERROR(__xludf.DUMMYFUNCTION("""COMPUTED_VALUE"""),5)</f>
        <v>5</v>
      </c>
      <c r="R178" s="21"/>
      <c r="S178" s="21"/>
      <c r="T178" s="21"/>
      <c r="U178" s="21" t="str">
        <f ca="1">IFERROR(__xludf.DUMMYFUNCTION("""COMPUTED_VALUE"""),"মোছাঃ সুলতানা পারভীন")</f>
        <v>মোছাঃ সুলতানা পারভীন</v>
      </c>
      <c r="V178" s="21" t="str">
        <f ca="1">IFERROR(__xludf.DUMMYFUNCTION("""COMPUTED_VALUE"""),"০১৭৯৩৬৪৬৪০৬")</f>
        <v>০১৭৯৩৬৪৬৪০৬</v>
      </c>
      <c r="W178" s="21" t="str">
        <f ca="1">IFERROR(__xludf.DUMMYFUNCTION("""COMPUTED_VALUE"""),"মোছাঃ দিলশাদ জাহান
")</f>
        <v xml:space="preserve">মোছাঃ দিলশাদ জাহান
</v>
      </c>
      <c r="X178" s="21" t="str">
        <f ca="1">IFERROR(__xludf.DUMMYFUNCTION("""COMPUTED_VALUE"""),"০১৯৩৭৩৭১৬০৪")</f>
        <v>০১৯৩৭৩৭১৬০৪</v>
      </c>
      <c r="Y178" s="21"/>
      <c r="Z178" s="21"/>
      <c r="AA178" s="21"/>
      <c r="AB178" s="21"/>
      <c r="AC178" s="21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 spans="1:40" ht="15" customHeight="1" x14ac:dyDescent="0.15">
      <c r="A179" s="25"/>
      <c r="B179" s="25"/>
      <c r="C179" s="25" t="str">
        <f ca="1">IFERROR(__xludf.DUMMYFUNCTION("""COMPUTED_VALUE"""),"রংপুর")</f>
        <v>রংপুর</v>
      </c>
      <c r="D179" s="25" t="str">
        <f ca="1">IFERROR(__xludf.DUMMYFUNCTION("""COMPUTED_VALUE"""),"রংপুর")</f>
        <v>রংপুর</v>
      </c>
      <c r="E179" s="25" t="str">
        <f ca="1">IFERROR(__xludf.DUMMYFUNCTION("""COMPUTED_VALUE"""),"কুড়িগ্রাম")</f>
        <v>কুড়িগ্রাম</v>
      </c>
      <c r="F179" s="25" t="str">
        <f ca="1">IFERROR(__xludf.DUMMYFUNCTION("""COMPUTED_VALUE"""),"চর রাজিবপুর")</f>
        <v>চর রাজিবপুর</v>
      </c>
      <c r="G179" s="25"/>
      <c r="H179" s="25"/>
      <c r="I179" s="25"/>
      <c r="J179" s="25" t="str">
        <f ca="1">IFERROR(__xludf.DUMMYFUNCTION("""COMPUTED_VALUE"""),"প্রণোদনা")</f>
        <v>প্রণোদনা</v>
      </c>
      <c r="K179" s="25"/>
      <c r="L179" s="25">
        <f ca="1">IFERROR(__xludf.DUMMYFUNCTION("""COMPUTED_VALUE"""),25.412461)</f>
        <v>25.412461</v>
      </c>
      <c r="M179" s="25">
        <f ca="1">IFERROR(__xludf.DUMMYFUNCTION("""COMPUTED_VALUE"""),89.767388)</f>
        <v>89.767387999999997</v>
      </c>
      <c r="N179" s="25"/>
      <c r="O17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9" s="25" t="str">
        <f ca="1">IFERROR(__xludf.DUMMYFUNCTION("""COMPUTED_VALUE"""),"ফলদ, বনজ")</f>
        <v>ফলদ, বনজ</v>
      </c>
      <c r="Q179" s="25">
        <f ca="1">IFERROR(__xludf.DUMMYFUNCTION("""COMPUTED_VALUE"""),5)</f>
        <v>5</v>
      </c>
      <c r="R179" s="25"/>
      <c r="S179" s="25"/>
      <c r="T179" s="25"/>
      <c r="U179" s="25" t="str">
        <f ca="1">IFERROR(__xludf.DUMMYFUNCTION("""COMPUTED_VALUE"""),"মোঃ আব্দুস সালাম")</f>
        <v>মোঃ আব্দুস সালাম</v>
      </c>
      <c r="V179" s="25" t="str">
        <f ca="1">IFERROR(__xludf.DUMMYFUNCTION("""COMPUTED_VALUE"""),"০১৬১৫২৫২৭৬২")</f>
        <v>০১৬১৫২৫২৭৬২</v>
      </c>
      <c r="W179" s="25" t="str">
        <f ca="1">IFERROR(__xludf.DUMMYFUNCTION("""COMPUTED_VALUE"""),"মোছাঃ দিলশাদ জাহান
")</f>
        <v xml:space="preserve">মোছাঃ দিলশাদ জাহান
</v>
      </c>
      <c r="X179" s="25" t="str">
        <f ca="1">IFERROR(__xludf.DUMMYFUNCTION("""COMPUTED_VALUE"""),"০১৯৩৭৩৭১৬০৪")</f>
        <v>০১৯৩৭৩৭১৬০৪</v>
      </c>
      <c r="Y179" s="25"/>
      <c r="Z179" s="25"/>
      <c r="AA179" s="25"/>
      <c r="AB179" s="25"/>
      <c r="AC179" s="25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spans="1:40" ht="15" customHeight="1" x14ac:dyDescent="0.15">
      <c r="A180" s="21"/>
      <c r="B180" s="21"/>
      <c r="C180" s="21" t="str">
        <f ca="1">IFERROR(__xludf.DUMMYFUNCTION("""COMPUTED_VALUE"""),"রংপুর")</f>
        <v>রংপুর</v>
      </c>
      <c r="D180" s="21" t="str">
        <f ca="1">IFERROR(__xludf.DUMMYFUNCTION("""COMPUTED_VALUE"""),"রংপুর")</f>
        <v>রংপুর</v>
      </c>
      <c r="E180" s="21" t="str">
        <f ca="1">IFERROR(__xludf.DUMMYFUNCTION("""COMPUTED_VALUE"""),"কুড়িগ্রাম")</f>
        <v>কুড়িগ্রাম</v>
      </c>
      <c r="F180" s="21" t="str">
        <f ca="1">IFERROR(__xludf.DUMMYFUNCTION("""COMPUTED_VALUE"""),"চর রাজিবপুর")</f>
        <v>চর রাজিবপুর</v>
      </c>
      <c r="G180" s="21"/>
      <c r="H180" s="21"/>
      <c r="I180" s="21"/>
      <c r="J180" s="21" t="str">
        <f ca="1">IFERROR(__xludf.DUMMYFUNCTION("""COMPUTED_VALUE"""),"প্রণোদনা")</f>
        <v>প্রণোদনা</v>
      </c>
      <c r="K180" s="21"/>
      <c r="L180" s="21">
        <f ca="1">IFERROR(__xludf.DUMMYFUNCTION("""COMPUTED_VALUE"""),25.412654)</f>
        <v>25.412654</v>
      </c>
      <c r="M180" s="21">
        <f ca="1">IFERROR(__xludf.DUMMYFUNCTION("""COMPUTED_VALUE"""),89.767452)</f>
        <v>89.767452000000006</v>
      </c>
      <c r="N180" s="21"/>
      <c r="O18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0" s="21" t="str">
        <f ca="1">IFERROR(__xludf.DUMMYFUNCTION("""COMPUTED_VALUE"""),"ফলদ, বনজ")</f>
        <v>ফলদ, বনজ</v>
      </c>
      <c r="Q180" s="21">
        <f ca="1">IFERROR(__xludf.DUMMYFUNCTION("""COMPUTED_VALUE"""),5)</f>
        <v>5</v>
      </c>
      <c r="R180" s="21"/>
      <c r="S180" s="21"/>
      <c r="T180" s="21"/>
      <c r="U180" s="21" t="str">
        <f ca="1">IFERROR(__xludf.DUMMYFUNCTION("""COMPUTED_VALUE"""),"মোঃ সোহেল রানা")</f>
        <v>মোঃ সোহেল রানা</v>
      </c>
      <c r="V180" s="21" t="str">
        <f ca="1">IFERROR(__xludf.DUMMYFUNCTION("""COMPUTED_VALUE"""),"০১৬৪৮৪৯১১৪২")</f>
        <v>০১৬৪৮৪৯১১৪২</v>
      </c>
      <c r="W180" s="21" t="str">
        <f ca="1">IFERROR(__xludf.DUMMYFUNCTION("""COMPUTED_VALUE"""),"মোছাঃ দিলশাদ জাহান
")</f>
        <v xml:space="preserve">মোছাঃ দিলশাদ জাহান
</v>
      </c>
      <c r="X180" s="21" t="str">
        <f ca="1">IFERROR(__xludf.DUMMYFUNCTION("""COMPUTED_VALUE"""),"০১৯৩৭৩৭১৬০৪")</f>
        <v>০১৯৩৭৩৭১৬০৪</v>
      </c>
      <c r="Y180" s="21"/>
      <c r="Z180" s="21"/>
      <c r="AA180" s="21"/>
      <c r="AB180" s="21"/>
      <c r="AC180" s="21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 spans="1:40" ht="15" customHeight="1" x14ac:dyDescent="0.15">
      <c r="A181" s="25"/>
      <c r="B181" s="25"/>
      <c r="C181" s="25" t="str">
        <f ca="1">IFERROR(__xludf.DUMMYFUNCTION("""COMPUTED_VALUE"""),"রংপুর")</f>
        <v>রংপুর</v>
      </c>
      <c r="D181" s="25" t="str">
        <f ca="1">IFERROR(__xludf.DUMMYFUNCTION("""COMPUTED_VALUE"""),"রংপুর")</f>
        <v>রংপুর</v>
      </c>
      <c r="E181" s="25" t="str">
        <f ca="1">IFERROR(__xludf.DUMMYFUNCTION("""COMPUTED_VALUE"""),"কুড়িগ্রাম")</f>
        <v>কুড়িগ্রাম</v>
      </c>
      <c r="F181" s="25" t="str">
        <f ca="1">IFERROR(__xludf.DUMMYFUNCTION("""COMPUTED_VALUE"""),"চর রাজিবপুর")</f>
        <v>চর রাজিবপুর</v>
      </c>
      <c r="G181" s="25"/>
      <c r="H181" s="25"/>
      <c r="I181" s="25"/>
      <c r="J181" s="25" t="str">
        <f ca="1">IFERROR(__xludf.DUMMYFUNCTION("""COMPUTED_VALUE"""),"প্রণোদনা")</f>
        <v>প্রণোদনা</v>
      </c>
      <c r="K181" s="25"/>
      <c r="L181" s="25">
        <f ca="1">IFERROR(__xludf.DUMMYFUNCTION("""COMPUTED_VALUE"""),25.41347)</f>
        <v>25.41347</v>
      </c>
      <c r="M181" s="25">
        <f ca="1">IFERROR(__xludf.DUMMYFUNCTION("""COMPUTED_VALUE"""),89.767654)</f>
        <v>89.767653999999993</v>
      </c>
      <c r="N181" s="25"/>
      <c r="O18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1" s="25" t="str">
        <f ca="1">IFERROR(__xludf.DUMMYFUNCTION("""COMPUTED_VALUE"""),"ফলদ, বনজ")</f>
        <v>ফলদ, বনজ</v>
      </c>
      <c r="Q181" s="25">
        <f ca="1">IFERROR(__xludf.DUMMYFUNCTION("""COMPUTED_VALUE"""),5)</f>
        <v>5</v>
      </c>
      <c r="R181" s="25"/>
      <c r="S181" s="25"/>
      <c r="T181" s="25"/>
      <c r="U181" s="25" t="str">
        <f ca="1">IFERROR(__xludf.DUMMYFUNCTION("""COMPUTED_VALUE"""),"মোঃ ছলিম উদ্দিন")</f>
        <v>মোঃ ছলিম উদ্দিন</v>
      </c>
      <c r="V181" s="25" t="str">
        <f ca="1">IFERROR(__xludf.DUMMYFUNCTION("""COMPUTED_VALUE"""),"০১৯৯৫৬৬৮৮৭২")</f>
        <v>০১৯৯৫৬৬৮৮৭২</v>
      </c>
      <c r="W181" s="25" t="str">
        <f ca="1">IFERROR(__xludf.DUMMYFUNCTION("""COMPUTED_VALUE"""),"মোছাঃ দিলশাদ জাহান
")</f>
        <v xml:space="preserve">মোছাঃ দিলশাদ জাহান
</v>
      </c>
      <c r="X181" s="25" t="str">
        <f ca="1">IFERROR(__xludf.DUMMYFUNCTION("""COMPUTED_VALUE"""),"০১৯৩৭৩৭১৬০৪")</f>
        <v>০১৯৩৭৩৭১৬০৪</v>
      </c>
      <c r="Y181" s="25"/>
      <c r="Z181" s="25"/>
      <c r="AA181" s="25"/>
      <c r="AB181" s="25"/>
      <c r="AC181" s="25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spans="1:40" ht="15" customHeight="1" x14ac:dyDescent="0.15">
      <c r="A182" s="21"/>
      <c r="B182" s="21"/>
      <c r="C182" s="21" t="str">
        <f ca="1">IFERROR(__xludf.DUMMYFUNCTION("""COMPUTED_VALUE"""),"রংপুর")</f>
        <v>রংপুর</v>
      </c>
      <c r="D182" s="21" t="str">
        <f ca="1">IFERROR(__xludf.DUMMYFUNCTION("""COMPUTED_VALUE"""),"রংপুর")</f>
        <v>রংপুর</v>
      </c>
      <c r="E182" s="21" t="str">
        <f ca="1">IFERROR(__xludf.DUMMYFUNCTION("""COMPUTED_VALUE"""),"কুড়িগ্রাম")</f>
        <v>কুড়িগ্রাম</v>
      </c>
      <c r="F182" s="21" t="str">
        <f ca="1">IFERROR(__xludf.DUMMYFUNCTION("""COMPUTED_VALUE"""),"চর রাজিবপুর")</f>
        <v>চর রাজিবপুর</v>
      </c>
      <c r="G182" s="21"/>
      <c r="H182" s="21"/>
      <c r="I182" s="21"/>
      <c r="J182" s="21" t="str">
        <f ca="1">IFERROR(__xludf.DUMMYFUNCTION("""COMPUTED_VALUE"""),"প্রণোদনা")</f>
        <v>প্রণোদনা</v>
      </c>
      <c r="K182" s="21"/>
      <c r="L182" s="21">
        <f ca="1">IFERROR(__xludf.DUMMYFUNCTION("""COMPUTED_VALUE"""),25.414145)</f>
        <v>25.414145000000001</v>
      </c>
      <c r="M182" s="21">
        <f ca="1">IFERROR(__xludf.DUMMYFUNCTION("""COMPUTED_VALUE"""),89.765339)</f>
        <v>89.765338999999997</v>
      </c>
      <c r="N182" s="21"/>
      <c r="O18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2" s="21" t="str">
        <f ca="1">IFERROR(__xludf.DUMMYFUNCTION("""COMPUTED_VALUE"""),"ফলদ, বনজ")</f>
        <v>ফলদ, বনজ</v>
      </c>
      <c r="Q182" s="21">
        <f ca="1">IFERROR(__xludf.DUMMYFUNCTION("""COMPUTED_VALUE"""),5)</f>
        <v>5</v>
      </c>
      <c r="R182" s="21"/>
      <c r="S182" s="21"/>
      <c r="T182" s="21"/>
      <c r="U182" s="21" t="str">
        <f ca="1">IFERROR(__xludf.DUMMYFUNCTION("""COMPUTED_VALUE"""),"মোঃ মাইদুল ইসলাম")</f>
        <v>মোঃ মাইদুল ইসলাম</v>
      </c>
      <c r="V182" s="21" t="str">
        <f ca="1">IFERROR(__xludf.DUMMYFUNCTION("""COMPUTED_VALUE"""),"০১৯২৫৭২৬৮০৯")</f>
        <v>০১৯২৫৭২৬৮০৯</v>
      </c>
      <c r="W182" s="21" t="str">
        <f ca="1">IFERROR(__xludf.DUMMYFUNCTION("""COMPUTED_VALUE"""),"মোছাঃ দিলশাদ জাহান
")</f>
        <v xml:space="preserve">মোছাঃ দিলশাদ জাহান
</v>
      </c>
      <c r="X182" s="21" t="str">
        <f ca="1">IFERROR(__xludf.DUMMYFUNCTION("""COMPUTED_VALUE"""),"০১৯৩৭৩৭১৬০৪")</f>
        <v>০১৯৩৭৩৭১৬০৪</v>
      </c>
      <c r="Y182" s="21"/>
      <c r="Z182" s="21"/>
      <c r="AA182" s="21"/>
      <c r="AB182" s="21"/>
      <c r="AC182" s="21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 spans="1:40" ht="15" customHeight="1" x14ac:dyDescent="0.15">
      <c r="A183" s="25"/>
      <c r="B183" s="25"/>
      <c r="C183" s="25" t="str">
        <f ca="1">IFERROR(__xludf.DUMMYFUNCTION("""COMPUTED_VALUE"""),"রংপুর")</f>
        <v>রংপুর</v>
      </c>
      <c r="D183" s="25" t="str">
        <f ca="1">IFERROR(__xludf.DUMMYFUNCTION("""COMPUTED_VALUE"""),"রংপুর")</f>
        <v>রংপুর</v>
      </c>
      <c r="E183" s="25" t="str">
        <f ca="1">IFERROR(__xludf.DUMMYFUNCTION("""COMPUTED_VALUE"""),"কুড়িগ্রাম")</f>
        <v>কুড়িগ্রাম</v>
      </c>
      <c r="F183" s="25" t="str">
        <f ca="1">IFERROR(__xludf.DUMMYFUNCTION("""COMPUTED_VALUE"""),"চর রাজিবপুর")</f>
        <v>চর রাজিবপুর</v>
      </c>
      <c r="G183" s="25"/>
      <c r="H183" s="25"/>
      <c r="I183" s="25"/>
      <c r="J183" s="25" t="str">
        <f ca="1">IFERROR(__xludf.DUMMYFUNCTION("""COMPUTED_VALUE"""),"প্রণোদনা")</f>
        <v>প্রণোদনা</v>
      </c>
      <c r="K183" s="25"/>
      <c r="L183" s="25">
        <f ca="1">IFERROR(__xludf.DUMMYFUNCTION("""COMPUTED_VALUE"""),25.413133)</f>
        <v>25.413132999999998</v>
      </c>
      <c r="M183" s="25">
        <f ca="1">IFERROR(__xludf.DUMMYFUNCTION("""COMPUTED_VALUE"""),89.767455)</f>
        <v>89.767454999999998</v>
      </c>
      <c r="N183" s="25"/>
      <c r="O18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3" s="25" t="str">
        <f ca="1">IFERROR(__xludf.DUMMYFUNCTION("""COMPUTED_VALUE"""),"ফলদ, বনজ")</f>
        <v>ফলদ, বনজ</v>
      </c>
      <c r="Q183" s="25">
        <f ca="1">IFERROR(__xludf.DUMMYFUNCTION("""COMPUTED_VALUE"""),5)</f>
        <v>5</v>
      </c>
      <c r="R183" s="25"/>
      <c r="S183" s="25"/>
      <c r="T183" s="25"/>
      <c r="U183" s="25" t="str">
        <f ca="1">IFERROR(__xludf.DUMMYFUNCTION("""COMPUTED_VALUE"""),"মোঃ আল মামুন")</f>
        <v>মোঃ আল মামুন</v>
      </c>
      <c r="V183" s="25" t="str">
        <f ca="1">IFERROR(__xludf.DUMMYFUNCTION("""COMPUTED_VALUE"""),"০১৭৬৬১০৭৬১৩")</f>
        <v>০১৭৬৬১০৭৬১৩</v>
      </c>
      <c r="W183" s="25" t="str">
        <f ca="1">IFERROR(__xludf.DUMMYFUNCTION("""COMPUTED_VALUE"""),"মোছাঃ দিলশাদ জাহান
")</f>
        <v xml:space="preserve">মোছাঃ দিলশাদ জাহান
</v>
      </c>
      <c r="X183" s="25" t="str">
        <f ca="1">IFERROR(__xludf.DUMMYFUNCTION("""COMPUTED_VALUE"""),"০১৯৩৭৩৭১৬০৪")</f>
        <v>০১৯৩৭৩৭১৬০৪</v>
      </c>
      <c r="Y183" s="25"/>
      <c r="Z183" s="25"/>
      <c r="AA183" s="25"/>
      <c r="AB183" s="25"/>
      <c r="AC183" s="25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spans="1:40" ht="15" customHeight="1" x14ac:dyDescent="0.15">
      <c r="A184" s="21"/>
      <c r="B184" s="21"/>
      <c r="C184" s="21" t="str">
        <f ca="1">IFERROR(__xludf.DUMMYFUNCTION("""COMPUTED_VALUE"""),"রংপুর")</f>
        <v>রংপুর</v>
      </c>
      <c r="D184" s="21" t="str">
        <f ca="1">IFERROR(__xludf.DUMMYFUNCTION("""COMPUTED_VALUE"""),"রংপুর")</f>
        <v>রংপুর</v>
      </c>
      <c r="E184" s="21" t="str">
        <f ca="1">IFERROR(__xludf.DUMMYFUNCTION("""COMPUTED_VALUE"""),"কুড়িগ্রাম")</f>
        <v>কুড়িগ্রাম</v>
      </c>
      <c r="F184" s="21" t="str">
        <f ca="1">IFERROR(__xludf.DUMMYFUNCTION("""COMPUTED_VALUE"""),"চর রাজিবপুর")</f>
        <v>চর রাজিবপুর</v>
      </c>
      <c r="G184" s="21"/>
      <c r="H184" s="21"/>
      <c r="I184" s="21"/>
      <c r="J184" s="21" t="str">
        <f ca="1">IFERROR(__xludf.DUMMYFUNCTION("""COMPUTED_VALUE"""),"প্রণোদনা")</f>
        <v>প্রণোদনা</v>
      </c>
      <c r="K184" s="21"/>
      <c r="L184" s="21">
        <f ca="1">IFERROR(__xludf.DUMMYFUNCTION("""COMPUTED_VALUE"""),25.412798)</f>
        <v>25.412797999999999</v>
      </c>
      <c r="M184" s="21">
        <f ca="1">IFERROR(__xludf.DUMMYFUNCTION("""COMPUTED_VALUE"""),89.767453)</f>
        <v>89.767453000000003</v>
      </c>
      <c r="N184" s="21"/>
      <c r="O18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4" s="21" t="str">
        <f ca="1">IFERROR(__xludf.DUMMYFUNCTION("""COMPUTED_VALUE"""),"ফলদ, বনজ")</f>
        <v>ফলদ, বনজ</v>
      </c>
      <c r="Q184" s="21">
        <f ca="1">IFERROR(__xludf.DUMMYFUNCTION("""COMPUTED_VALUE"""),5)</f>
        <v>5</v>
      </c>
      <c r="R184" s="21"/>
      <c r="S184" s="21"/>
      <c r="T184" s="21"/>
      <c r="U184" s="21" t="str">
        <f ca="1">IFERROR(__xludf.DUMMYFUNCTION("""COMPUTED_VALUE"""),"মোঃ ছানোয়ার হোসেন")</f>
        <v>মোঃ ছানোয়ার হোসেন</v>
      </c>
      <c r="V184" s="21" t="str">
        <f ca="1">IFERROR(__xludf.DUMMYFUNCTION("""COMPUTED_VALUE"""),"০১৮৩১৪৮৪০৪০")</f>
        <v>০১৮৩১৪৮৪০৪০</v>
      </c>
      <c r="W184" s="21" t="str">
        <f ca="1">IFERROR(__xludf.DUMMYFUNCTION("""COMPUTED_VALUE"""),"মোছাঃ দিলশাদ জাহান
")</f>
        <v xml:space="preserve">মোছাঃ দিলশাদ জাহান
</v>
      </c>
      <c r="X184" s="21" t="str">
        <f ca="1">IFERROR(__xludf.DUMMYFUNCTION("""COMPUTED_VALUE"""),"০১৯৩৭৩৭১৬০৪")</f>
        <v>০১৯৩৭৩৭১৬০৪</v>
      </c>
      <c r="Y184" s="21"/>
      <c r="Z184" s="21"/>
      <c r="AA184" s="21"/>
      <c r="AB184" s="21"/>
      <c r="AC184" s="21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 spans="1:40" ht="15" customHeight="1" x14ac:dyDescent="0.15">
      <c r="A185" s="25"/>
      <c r="B185" s="25"/>
      <c r="C185" s="25" t="str">
        <f ca="1">IFERROR(__xludf.DUMMYFUNCTION("""COMPUTED_VALUE"""),"রংপুর")</f>
        <v>রংপুর</v>
      </c>
      <c r="D185" s="25" t="str">
        <f ca="1">IFERROR(__xludf.DUMMYFUNCTION("""COMPUTED_VALUE"""),"রংপুর")</f>
        <v>রংপুর</v>
      </c>
      <c r="E185" s="25" t="str">
        <f ca="1">IFERROR(__xludf.DUMMYFUNCTION("""COMPUTED_VALUE"""),"কুড়িগ্রাম")</f>
        <v>কুড়িগ্রাম</v>
      </c>
      <c r="F185" s="25" t="str">
        <f ca="1">IFERROR(__xludf.DUMMYFUNCTION("""COMPUTED_VALUE"""),"চর রাজিবপুর")</f>
        <v>চর রাজিবপুর</v>
      </c>
      <c r="G185" s="25"/>
      <c r="H185" s="25"/>
      <c r="I185" s="25"/>
      <c r="J185" s="25" t="str">
        <f ca="1">IFERROR(__xludf.DUMMYFUNCTION("""COMPUTED_VALUE"""),"প্রণোদনা")</f>
        <v>প্রণোদনা</v>
      </c>
      <c r="K185" s="25"/>
      <c r="L185" s="25">
        <f ca="1">IFERROR(__xludf.DUMMYFUNCTION("""COMPUTED_VALUE"""),25.413274)</f>
        <v>25.413274000000001</v>
      </c>
      <c r="M185" s="25">
        <f ca="1">IFERROR(__xludf.DUMMYFUNCTION("""COMPUTED_VALUE"""),89.76747)</f>
        <v>89.767470000000003</v>
      </c>
      <c r="N185" s="25"/>
      <c r="O18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5" s="25" t="str">
        <f ca="1">IFERROR(__xludf.DUMMYFUNCTION("""COMPUTED_VALUE"""),"ফলদ, বনজ")</f>
        <v>ফলদ, বনজ</v>
      </c>
      <c r="Q185" s="25">
        <f ca="1">IFERROR(__xludf.DUMMYFUNCTION("""COMPUTED_VALUE"""),5)</f>
        <v>5</v>
      </c>
      <c r="R185" s="25"/>
      <c r="S185" s="25"/>
      <c r="T185" s="25"/>
      <c r="U185" s="25" t="str">
        <f ca="1">IFERROR(__xludf.DUMMYFUNCTION("""COMPUTED_VALUE"""),"মোছাঃ কদভানু বেগম")</f>
        <v>মোছাঃ কদভানু বেগম</v>
      </c>
      <c r="V185" s="25" t="str">
        <f ca="1">IFERROR(__xludf.DUMMYFUNCTION("""COMPUTED_VALUE"""),"০১৮২৮১৯২৯৪০")</f>
        <v>০১৮২৮১৯২৯৪০</v>
      </c>
      <c r="W185" s="25" t="str">
        <f ca="1">IFERROR(__xludf.DUMMYFUNCTION("""COMPUTED_VALUE"""),"মোছাঃ দিলশাদ জাহান
")</f>
        <v xml:space="preserve">মোছাঃ দিলশাদ জাহান
</v>
      </c>
      <c r="X185" s="25" t="str">
        <f ca="1">IFERROR(__xludf.DUMMYFUNCTION("""COMPUTED_VALUE"""),"০১৯৩৭৩৭১৬০৪")</f>
        <v>০১৯৩৭৩৭১৬০৪</v>
      </c>
      <c r="Y185" s="25"/>
      <c r="Z185" s="25"/>
      <c r="AA185" s="25"/>
      <c r="AB185" s="25"/>
      <c r="AC185" s="25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spans="1:40" ht="15" customHeight="1" x14ac:dyDescent="0.15">
      <c r="A186" s="21"/>
      <c r="B186" s="21"/>
      <c r="C186" s="21" t="str">
        <f ca="1">IFERROR(__xludf.DUMMYFUNCTION("""COMPUTED_VALUE"""),"রংপুর")</f>
        <v>রংপুর</v>
      </c>
      <c r="D186" s="21" t="str">
        <f ca="1">IFERROR(__xludf.DUMMYFUNCTION("""COMPUTED_VALUE"""),"রংপুর")</f>
        <v>রংপুর</v>
      </c>
      <c r="E186" s="21" t="str">
        <f ca="1">IFERROR(__xludf.DUMMYFUNCTION("""COMPUTED_VALUE"""),"কুড়িগ্রাম")</f>
        <v>কুড়িগ্রাম</v>
      </c>
      <c r="F186" s="21" t="str">
        <f ca="1">IFERROR(__xludf.DUMMYFUNCTION("""COMPUTED_VALUE"""),"চর রাজিবপুর")</f>
        <v>চর রাজিবপুর</v>
      </c>
      <c r="G186" s="21"/>
      <c r="H186" s="21"/>
      <c r="I186" s="21"/>
      <c r="J186" s="21" t="str">
        <f ca="1">IFERROR(__xludf.DUMMYFUNCTION("""COMPUTED_VALUE"""),"প্রণোদনা")</f>
        <v>প্রণোদনা</v>
      </c>
      <c r="K186" s="21"/>
      <c r="L186" s="21">
        <f ca="1">IFERROR(__xludf.DUMMYFUNCTION("""COMPUTED_VALUE"""),25.413472)</f>
        <v>25.413471999999999</v>
      </c>
      <c r="M186" s="21">
        <f ca="1">IFERROR(__xludf.DUMMYFUNCTION("""COMPUTED_VALUE"""),89.766374)</f>
        <v>89.766373999999999</v>
      </c>
      <c r="N186" s="21"/>
      <c r="O18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6" s="21" t="str">
        <f ca="1">IFERROR(__xludf.DUMMYFUNCTION("""COMPUTED_VALUE"""),"ফলদ, বনজ")</f>
        <v>ফলদ, বনজ</v>
      </c>
      <c r="Q186" s="21">
        <f ca="1">IFERROR(__xludf.DUMMYFUNCTION("""COMPUTED_VALUE"""),5)</f>
        <v>5</v>
      </c>
      <c r="R186" s="21"/>
      <c r="S186" s="21"/>
      <c r="T186" s="21"/>
      <c r="U186" s="21" t="str">
        <f ca="1">IFERROR(__xludf.DUMMYFUNCTION("""COMPUTED_VALUE"""),"মোঃ রাশেদুল ইসলাম")</f>
        <v>মোঃ রাশেদুল ইসলাম</v>
      </c>
      <c r="V186" s="21" t="str">
        <f ca="1">IFERROR(__xludf.DUMMYFUNCTION("""COMPUTED_VALUE"""),"০১৭৩৪৩৭০৫০৯")</f>
        <v>০১৭৩৪৩৭০৫০৯</v>
      </c>
      <c r="W186" s="21" t="str">
        <f ca="1">IFERROR(__xludf.DUMMYFUNCTION("""COMPUTED_VALUE"""),"মোছাঃ দিলশাদ জাহান
")</f>
        <v xml:space="preserve">মোছাঃ দিলশাদ জাহান
</v>
      </c>
      <c r="X186" s="21" t="str">
        <f ca="1">IFERROR(__xludf.DUMMYFUNCTION("""COMPUTED_VALUE"""),"০১৯৩৭৩৭১৬০৪")</f>
        <v>০১৯৩৭৩৭১৬০৪</v>
      </c>
      <c r="Y186" s="21"/>
      <c r="Z186" s="21"/>
      <c r="AA186" s="21"/>
      <c r="AB186" s="21"/>
      <c r="AC186" s="21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 spans="1:40" ht="15" customHeight="1" x14ac:dyDescent="0.15">
      <c r="A187" s="25"/>
      <c r="B187" s="25"/>
      <c r="C187" s="25" t="str">
        <f ca="1">IFERROR(__xludf.DUMMYFUNCTION("""COMPUTED_VALUE"""),"রংপুর")</f>
        <v>রংপুর</v>
      </c>
      <c r="D187" s="25" t="str">
        <f ca="1">IFERROR(__xludf.DUMMYFUNCTION("""COMPUTED_VALUE"""),"রংপুর")</f>
        <v>রংপুর</v>
      </c>
      <c r="E187" s="25" t="str">
        <f ca="1">IFERROR(__xludf.DUMMYFUNCTION("""COMPUTED_VALUE"""),"কুড়িগ্রাম")</f>
        <v>কুড়িগ্রাম</v>
      </c>
      <c r="F187" s="25" t="str">
        <f ca="1">IFERROR(__xludf.DUMMYFUNCTION("""COMPUTED_VALUE"""),"চর রাজিবপুর")</f>
        <v>চর রাজিবপুর</v>
      </c>
      <c r="G187" s="25"/>
      <c r="H187" s="25"/>
      <c r="I187" s="25"/>
      <c r="J187" s="25" t="str">
        <f ca="1">IFERROR(__xludf.DUMMYFUNCTION("""COMPUTED_VALUE"""),"প্রণোদনা")</f>
        <v>প্রণোদনা</v>
      </c>
      <c r="K187" s="25"/>
      <c r="L187" s="25">
        <f ca="1">IFERROR(__xludf.DUMMYFUNCTION("""COMPUTED_VALUE"""),25.413118)</f>
        <v>25.413118000000001</v>
      </c>
      <c r="M187" s="25">
        <f ca="1">IFERROR(__xludf.DUMMYFUNCTION("""COMPUTED_VALUE"""),89.767415)</f>
        <v>89.767415</v>
      </c>
      <c r="N187" s="25"/>
      <c r="O18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7" s="25" t="str">
        <f ca="1">IFERROR(__xludf.DUMMYFUNCTION("""COMPUTED_VALUE"""),"ফলদ, বনজ")</f>
        <v>ফলদ, বনজ</v>
      </c>
      <c r="Q187" s="25">
        <f ca="1">IFERROR(__xludf.DUMMYFUNCTION("""COMPUTED_VALUE"""),5)</f>
        <v>5</v>
      </c>
      <c r="R187" s="25"/>
      <c r="S187" s="25"/>
      <c r="T187" s="25"/>
      <c r="U187" s="25" t="str">
        <f ca="1">IFERROR(__xludf.DUMMYFUNCTION("""COMPUTED_VALUE"""),"মোঃ মাসুদ রানা")</f>
        <v>মোঃ মাসুদ রানা</v>
      </c>
      <c r="V187" s="25" t="str">
        <f ca="1">IFERROR(__xludf.DUMMYFUNCTION("""COMPUTED_VALUE"""),"০১৭৫৩৬৫৬৬০৩")</f>
        <v>০১৭৫৩৬৫৬৬০৩</v>
      </c>
      <c r="W187" s="25" t="str">
        <f ca="1">IFERROR(__xludf.DUMMYFUNCTION("""COMPUTED_VALUE"""),"মোছাঃ দিলশাদ জাহান
")</f>
        <v xml:space="preserve">মোছাঃ দিলশাদ জাহান
</v>
      </c>
      <c r="X187" s="25" t="str">
        <f ca="1">IFERROR(__xludf.DUMMYFUNCTION("""COMPUTED_VALUE"""),"০১৯৩৭৩৭১৬০৪")</f>
        <v>০১৯৩৭৩৭১৬০৪</v>
      </c>
      <c r="Y187" s="25"/>
      <c r="Z187" s="25"/>
      <c r="AA187" s="25"/>
      <c r="AB187" s="25"/>
      <c r="AC187" s="25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spans="1:40" ht="15" customHeight="1" x14ac:dyDescent="0.15">
      <c r="A188" s="21"/>
      <c r="B188" s="21"/>
      <c r="C188" s="21" t="str">
        <f ca="1">IFERROR(__xludf.DUMMYFUNCTION("""COMPUTED_VALUE"""),"রংপুর")</f>
        <v>রংপুর</v>
      </c>
      <c r="D188" s="21" t="str">
        <f ca="1">IFERROR(__xludf.DUMMYFUNCTION("""COMPUTED_VALUE"""),"রংপুর")</f>
        <v>রংপুর</v>
      </c>
      <c r="E188" s="21" t="str">
        <f ca="1">IFERROR(__xludf.DUMMYFUNCTION("""COMPUTED_VALUE"""),"কুড়িগ্রাম")</f>
        <v>কুড়িগ্রাম</v>
      </c>
      <c r="F188" s="21" t="str">
        <f ca="1">IFERROR(__xludf.DUMMYFUNCTION("""COMPUTED_VALUE"""),"চর রাজিবপুর")</f>
        <v>চর রাজিবপুর</v>
      </c>
      <c r="G188" s="21"/>
      <c r="H188" s="21"/>
      <c r="I188" s="21"/>
      <c r="J188" s="21" t="str">
        <f ca="1">IFERROR(__xludf.DUMMYFUNCTION("""COMPUTED_VALUE"""),"প্রণোদনা")</f>
        <v>প্রণোদনা</v>
      </c>
      <c r="K188" s="21"/>
      <c r="L188" s="21">
        <f ca="1">IFERROR(__xludf.DUMMYFUNCTION("""COMPUTED_VALUE"""),25.42506)</f>
        <v>25.425059999999998</v>
      </c>
      <c r="M188" s="21">
        <f ca="1">IFERROR(__xludf.DUMMYFUNCTION("""COMPUTED_VALUE"""),89.76709)</f>
        <v>89.767089999999996</v>
      </c>
      <c r="N188" s="21"/>
      <c r="O1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8" s="21" t="str">
        <f ca="1">IFERROR(__xludf.DUMMYFUNCTION("""COMPUTED_VALUE"""),"ফলদ, বনজ")</f>
        <v>ফলদ, বনজ</v>
      </c>
      <c r="Q188" s="21">
        <f ca="1">IFERROR(__xludf.DUMMYFUNCTION("""COMPUTED_VALUE"""),5)</f>
        <v>5</v>
      </c>
      <c r="R188" s="21"/>
      <c r="S188" s="21"/>
      <c r="T188" s="21"/>
      <c r="U188" s="21" t="str">
        <f ca="1">IFERROR(__xludf.DUMMYFUNCTION("""COMPUTED_VALUE"""),"মোছাঃ আশামণি")</f>
        <v>মোছাঃ আশামণি</v>
      </c>
      <c r="V188" s="21" t="str">
        <f ca="1">IFERROR(__xludf.DUMMYFUNCTION("""COMPUTED_VALUE"""),"০১৯৯৪৫৮৯০৮৯")</f>
        <v>০১৯৯৪৫৮৯০৮৯</v>
      </c>
      <c r="W188" s="21" t="str">
        <f ca="1">IFERROR(__xludf.DUMMYFUNCTION("""COMPUTED_VALUE"""),"মোছাঃ দিলশাদ জাহান
")</f>
        <v xml:space="preserve">মোছাঃ দিলশাদ জাহান
</v>
      </c>
      <c r="X188" s="21" t="str">
        <f ca="1">IFERROR(__xludf.DUMMYFUNCTION("""COMPUTED_VALUE"""),"০১৯৩৭৩৭১৬০৪")</f>
        <v>০১৯৩৭৩৭১৬০৪</v>
      </c>
      <c r="Y188" s="21"/>
      <c r="Z188" s="21"/>
      <c r="AA188" s="21"/>
      <c r="AB188" s="21"/>
      <c r="AC188" s="21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 spans="1:40" ht="15" customHeight="1" x14ac:dyDescent="0.15">
      <c r="A189" s="25"/>
      <c r="B189" s="25"/>
      <c r="C189" s="25" t="str">
        <f ca="1">IFERROR(__xludf.DUMMYFUNCTION("""COMPUTED_VALUE"""),"রংপুর")</f>
        <v>রংপুর</v>
      </c>
      <c r="D189" s="25" t="str">
        <f ca="1">IFERROR(__xludf.DUMMYFUNCTION("""COMPUTED_VALUE"""),"রংপুর")</f>
        <v>রংপুর</v>
      </c>
      <c r="E189" s="25" t="str">
        <f ca="1">IFERROR(__xludf.DUMMYFUNCTION("""COMPUTED_VALUE"""),"কুড়িগ্রাম")</f>
        <v>কুড়িগ্রাম</v>
      </c>
      <c r="F189" s="25" t="str">
        <f ca="1">IFERROR(__xludf.DUMMYFUNCTION("""COMPUTED_VALUE"""),"চর রাজিবপুর")</f>
        <v>চর রাজিবপুর</v>
      </c>
      <c r="G189" s="25"/>
      <c r="H189" s="25"/>
      <c r="I189" s="25"/>
      <c r="J189" s="25" t="str">
        <f ca="1">IFERROR(__xludf.DUMMYFUNCTION("""COMPUTED_VALUE"""),"প্রণোদনা")</f>
        <v>প্রণোদনা</v>
      </c>
      <c r="K189" s="25"/>
      <c r="L189" s="25">
        <f ca="1">IFERROR(__xludf.DUMMYFUNCTION("""COMPUTED_VALUE"""),25.42571)</f>
        <v>25.425709999999999</v>
      </c>
      <c r="M189" s="25">
        <f ca="1">IFERROR(__xludf.DUMMYFUNCTION("""COMPUTED_VALUE"""),89.76702)</f>
        <v>89.767020000000002</v>
      </c>
      <c r="N189" s="25"/>
      <c r="O1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9" s="25" t="str">
        <f ca="1">IFERROR(__xludf.DUMMYFUNCTION("""COMPUTED_VALUE"""),"ফলদ, বনজ")</f>
        <v>ফলদ, বনজ</v>
      </c>
      <c r="Q189" s="25">
        <f ca="1">IFERROR(__xludf.DUMMYFUNCTION("""COMPUTED_VALUE"""),5)</f>
        <v>5</v>
      </c>
      <c r="R189" s="25"/>
      <c r="S189" s="25"/>
      <c r="T189" s="25"/>
      <c r="U189" s="25" t="str">
        <f ca="1">IFERROR(__xludf.DUMMYFUNCTION("""COMPUTED_VALUE"""),"মোঃ মাসুদ রানা")</f>
        <v>মোঃ মাসুদ রানা</v>
      </c>
      <c r="V189" s="25" t="str">
        <f ca="1">IFERROR(__xludf.DUMMYFUNCTION("""COMPUTED_VALUE"""),"০১৯৯৪৫৮৯০৮৯")</f>
        <v>০১৯৯৪৫৮৯০৮৯</v>
      </c>
      <c r="W189" s="25" t="str">
        <f ca="1">IFERROR(__xludf.DUMMYFUNCTION("""COMPUTED_VALUE"""),"মোছাঃ দিলশাদ জাহান
")</f>
        <v xml:space="preserve">মোছাঃ দিলশাদ জাহান
</v>
      </c>
      <c r="X189" s="25" t="str">
        <f ca="1">IFERROR(__xludf.DUMMYFUNCTION("""COMPUTED_VALUE"""),"০১৯৩৭৩৭১৬০৪")</f>
        <v>০১৯৩৭৩৭১৬০৪</v>
      </c>
      <c r="Y189" s="25"/>
      <c r="Z189" s="25"/>
      <c r="AA189" s="25"/>
      <c r="AB189" s="25"/>
      <c r="AC189" s="25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spans="1:40" ht="15" customHeight="1" x14ac:dyDescent="0.15">
      <c r="A190" s="21"/>
      <c r="B190" s="21"/>
      <c r="C190" s="21" t="str">
        <f ca="1">IFERROR(__xludf.DUMMYFUNCTION("""COMPUTED_VALUE"""),"রংপুর")</f>
        <v>রংপুর</v>
      </c>
      <c r="D190" s="21" t="str">
        <f ca="1">IFERROR(__xludf.DUMMYFUNCTION("""COMPUTED_VALUE"""),"রংপুর")</f>
        <v>রংপুর</v>
      </c>
      <c r="E190" s="21" t="str">
        <f ca="1">IFERROR(__xludf.DUMMYFUNCTION("""COMPUTED_VALUE"""),"কুড়িগ্রাম")</f>
        <v>কুড়িগ্রাম</v>
      </c>
      <c r="F190" s="21" t="str">
        <f ca="1">IFERROR(__xludf.DUMMYFUNCTION("""COMPUTED_VALUE"""),"চর রাজিবপুর")</f>
        <v>চর রাজিবপুর</v>
      </c>
      <c r="G190" s="21"/>
      <c r="H190" s="21"/>
      <c r="I190" s="21"/>
      <c r="J190" s="21" t="str">
        <f ca="1">IFERROR(__xludf.DUMMYFUNCTION("""COMPUTED_VALUE"""),"প্রণোদনা")</f>
        <v>প্রণোদনা</v>
      </c>
      <c r="K190" s="21"/>
      <c r="L190" s="21">
        <f ca="1">IFERROR(__xludf.DUMMYFUNCTION("""COMPUTED_VALUE"""),25.42818)</f>
        <v>25.428180000000001</v>
      </c>
      <c r="M190" s="21">
        <f ca="1">IFERROR(__xludf.DUMMYFUNCTION("""COMPUTED_VALUE"""),89.77167)</f>
        <v>89.77167</v>
      </c>
      <c r="N190" s="21"/>
      <c r="O1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0" s="21" t="str">
        <f ca="1">IFERROR(__xludf.DUMMYFUNCTION("""COMPUTED_VALUE"""),"ফলদ, বনজ")</f>
        <v>ফলদ, বনজ</v>
      </c>
      <c r="Q190" s="21">
        <f ca="1">IFERROR(__xludf.DUMMYFUNCTION("""COMPUTED_VALUE"""),5)</f>
        <v>5</v>
      </c>
      <c r="R190" s="21"/>
      <c r="S190" s="21"/>
      <c r="T190" s="21"/>
      <c r="U190" s="21" t="str">
        <f ca="1">IFERROR(__xludf.DUMMYFUNCTION("""COMPUTED_VALUE"""),"মোঃ জহুরুল ইসলাম")</f>
        <v>মোঃ জহুরুল ইসলাম</v>
      </c>
      <c r="V190" s="21" t="str">
        <f ca="1">IFERROR(__xludf.DUMMYFUNCTION("""COMPUTED_VALUE"""),"০১৫১৯৬০৬০১১")</f>
        <v>০১৫১৯৬০৬০১১</v>
      </c>
      <c r="W190" s="21" t="str">
        <f ca="1">IFERROR(__xludf.DUMMYFUNCTION("""COMPUTED_VALUE"""),"মোছাঃ দিলশাদ জাহান
")</f>
        <v xml:space="preserve">মোছাঃ দিলশাদ জাহান
</v>
      </c>
      <c r="X190" s="21" t="str">
        <f ca="1">IFERROR(__xludf.DUMMYFUNCTION("""COMPUTED_VALUE"""),"০১৯৩৭৩৭১৬০৪")</f>
        <v>০১৯৩৭৩৭১৬০৪</v>
      </c>
      <c r="Y190" s="21"/>
      <c r="Z190" s="21"/>
      <c r="AA190" s="21"/>
      <c r="AB190" s="21"/>
      <c r="AC190" s="21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 spans="1:40" ht="15" customHeight="1" x14ac:dyDescent="0.15">
      <c r="A191" s="25"/>
      <c r="B191" s="25"/>
      <c r="C191" s="25" t="str">
        <f ca="1">IFERROR(__xludf.DUMMYFUNCTION("""COMPUTED_VALUE"""),"রংপুর")</f>
        <v>রংপুর</v>
      </c>
      <c r="D191" s="25" t="str">
        <f ca="1">IFERROR(__xludf.DUMMYFUNCTION("""COMPUTED_VALUE"""),"রংপুর")</f>
        <v>রংপুর</v>
      </c>
      <c r="E191" s="25" t="str">
        <f ca="1">IFERROR(__xludf.DUMMYFUNCTION("""COMPUTED_VALUE"""),"কুড়িগ্রাম")</f>
        <v>কুড়িগ্রাম</v>
      </c>
      <c r="F191" s="25" t="str">
        <f ca="1">IFERROR(__xludf.DUMMYFUNCTION("""COMPUTED_VALUE"""),"চর রাজিবপুর")</f>
        <v>চর রাজিবপুর</v>
      </c>
      <c r="G191" s="25"/>
      <c r="H191" s="25"/>
      <c r="I191" s="25"/>
      <c r="J191" s="25" t="str">
        <f ca="1">IFERROR(__xludf.DUMMYFUNCTION("""COMPUTED_VALUE"""),"প্রণোদনা")</f>
        <v>প্রণোদনা</v>
      </c>
      <c r="K191" s="25"/>
      <c r="L191" s="25">
        <f ca="1">IFERROR(__xludf.DUMMYFUNCTION("""COMPUTED_VALUE"""),25.42281)</f>
        <v>25.422809999999998</v>
      </c>
      <c r="M191" s="25">
        <f ca="1">IFERROR(__xludf.DUMMYFUNCTION("""COMPUTED_VALUE"""),89.77098)</f>
        <v>89.770979999999994</v>
      </c>
      <c r="N191" s="25"/>
      <c r="O1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1" s="25" t="str">
        <f ca="1">IFERROR(__xludf.DUMMYFUNCTION("""COMPUTED_VALUE"""),"ফলদ, বনজ")</f>
        <v>ফলদ, বনজ</v>
      </c>
      <c r="Q191" s="25">
        <f ca="1">IFERROR(__xludf.DUMMYFUNCTION("""COMPUTED_VALUE"""),5)</f>
        <v>5</v>
      </c>
      <c r="R191" s="25"/>
      <c r="S191" s="25"/>
      <c r="T191" s="25"/>
      <c r="U191" s="25" t="str">
        <f ca="1">IFERROR(__xludf.DUMMYFUNCTION("""COMPUTED_VALUE"""),"মোঃ বদিউজ্জামান")</f>
        <v>মোঃ বদিউজ্জামান</v>
      </c>
      <c r="V191" s="25" t="str">
        <f ca="1">IFERROR(__xludf.DUMMYFUNCTION("""COMPUTED_VALUE"""),"০১৯৩৭১৮২৩৩৬")</f>
        <v>০১৯৩৭১৮২৩৩৬</v>
      </c>
      <c r="W191" s="25" t="str">
        <f ca="1">IFERROR(__xludf.DUMMYFUNCTION("""COMPUTED_VALUE"""),"মোছাঃ দিলশাদ জাহান
")</f>
        <v xml:space="preserve">মোছাঃ দিলশাদ জাহান
</v>
      </c>
      <c r="X191" s="25" t="str">
        <f ca="1">IFERROR(__xludf.DUMMYFUNCTION("""COMPUTED_VALUE"""),"০১৯৩৭৩৭১৬০৪")</f>
        <v>০১৯৩৭৩৭১৬০৪</v>
      </c>
      <c r="Y191" s="25"/>
      <c r="Z191" s="25"/>
      <c r="AA191" s="25"/>
      <c r="AB191" s="25"/>
      <c r="AC191" s="25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spans="1:40" ht="15" customHeight="1" x14ac:dyDescent="0.15">
      <c r="A192" s="21"/>
      <c r="B192" s="21"/>
      <c r="C192" s="21" t="str">
        <f ca="1">IFERROR(__xludf.DUMMYFUNCTION("""COMPUTED_VALUE"""),"রংপুর")</f>
        <v>রংপুর</v>
      </c>
      <c r="D192" s="21" t="str">
        <f ca="1">IFERROR(__xludf.DUMMYFUNCTION("""COMPUTED_VALUE"""),"রংপুর")</f>
        <v>রংপুর</v>
      </c>
      <c r="E192" s="21" t="str">
        <f ca="1">IFERROR(__xludf.DUMMYFUNCTION("""COMPUTED_VALUE"""),"কুড়িগ্রাম")</f>
        <v>কুড়িগ্রাম</v>
      </c>
      <c r="F192" s="21" t="str">
        <f ca="1">IFERROR(__xludf.DUMMYFUNCTION("""COMPUTED_VALUE"""),"চর রাজিবপুর")</f>
        <v>চর রাজিবপুর</v>
      </c>
      <c r="G192" s="21"/>
      <c r="H192" s="21"/>
      <c r="I192" s="21"/>
      <c r="J192" s="21" t="str">
        <f ca="1">IFERROR(__xludf.DUMMYFUNCTION("""COMPUTED_VALUE"""),"প্রণোদনা")</f>
        <v>প্রণোদনা</v>
      </c>
      <c r="K192" s="21"/>
      <c r="L192" s="21">
        <f ca="1">IFERROR(__xludf.DUMMYFUNCTION("""COMPUTED_VALUE"""),25.42813)</f>
        <v>25.428129999999999</v>
      </c>
      <c r="M192" s="21">
        <f ca="1">IFERROR(__xludf.DUMMYFUNCTION("""COMPUTED_VALUE"""),89.77142)</f>
        <v>89.771420000000006</v>
      </c>
      <c r="N192" s="21"/>
      <c r="O1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2" s="21" t="str">
        <f ca="1">IFERROR(__xludf.DUMMYFUNCTION("""COMPUTED_VALUE"""),"ফলদ, বনজ")</f>
        <v>ফলদ, বনজ</v>
      </c>
      <c r="Q192" s="21">
        <f ca="1">IFERROR(__xludf.DUMMYFUNCTION("""COMPUTED_VALUE"""),5)</f>
        <v>5</v>
      </c>
      <c r="R192" s="21"/>
      <c r="S192" s="21"/>
      <c r="T192" s="21"/>
      <c r="U192" s="21" t="str">
        <f ca="1">IFERROR(__xludf.DUMMYFUNCTION("""COMPUTED_VALUE"""),"মোছাঃ জবেদা বেগম")</f>
        <v>মোছাঃ জবেদা বেগম</v>
      </c>
      <c r="V192" s="21" t="str">
        <f ca="1">IFERROR(__xludf.DUMMYFUNCTION("""COMPUTED_VALUE"""),"০১৫১৯৬০৬০১০")</f>
        <v>০১৫১৯৬০৬০১০</v>
      </c>
      <c r="W192" s="21" t="str">
        <f ca="1">IFERROR(__xludf.DUMMYFUNCTION("""COMPUTED_VALUE"""),"মোছাঃ দিলশাদ জাহান
")</f>
        <v xml:space="preserve">মোছাঃ দিলশাদ জাহান
</v>
      </c>
      <c r="X192" s="21" t="str">
        <f ca="1">IFERROR(__xludf.DUMMYFUNCTION("""COMPUTED_VALUE"""),"০১৯৩৭৩৭১৬০৪")</f>
        <v>০১৯৩৭৩৭১৬০৪</v>
      </c>
      <c r="Y192" s="21"/>
      <c r="Z192" s="21"/>
      <c r="AA192" s="21"/>
      <c r="AB192" s="21"/>
      <c r="AC192" s="21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 spans="1:40" ht="15" customHeight="1" x14ac:dyDescent="0.15">
      <c r="A193" s="25"/>
      <c r="B193" s="25"/>
      <c r="C193" s="25" t="str">
        <f ca="1">IFERROR(__xludf.DUMMYFUNCTION("""COMPUTED_VALUE"""),"রংপুর")</f>
        <v>রংপুর</v>
      </c>
      <c r="D193" s="25" t="str">
        <f ca="1">IFERROR(__xludf.DUMMYFUNCTION("""COMPUTED_VALUE"""),"রংপুর")</f>
        <v>রংপুর</v>
      </c>
      <c r="E193" s="25" t="str">
        <f ca="1">IFERROR(__xludf.DUMMYFUNCTION("""COMPUTED_VALUE"""),"কুড়িগ্রাম")</f>
        <v>কুড়িগ্রাম</v>
      </c>
      <c r="F193" s="25" t="str">
        <f ca="1">IFERROR(__xludf.DUMMYFUNCTION("""COMPUTED_VALUE"""),"চর রাজিবপুর")</f>
        <v>চর রাজিবপুর</v>
      </c>
      <c r="G193" s="25"/>
      <c r="H193" s="25"/>
      <c r="I193" s="25"/>
      <c r="J193" s="25" t="str">
        <f ca="1">IFERROR(__xludf.DUMMYFUNCTION("""COMPUTED_VALUE"""),"প্রণোদনা")</f>
        <v>প্রণোদনা</v>
      </c>
      <c r="K193" s="25"/>
      <c r="L193" s="25">
        <f ca="1">IFERROR(__xludf.DUMMYFUNCTION("""COMPUTED_VALUE"""),25.42876)</f>
        <v>25.42876</v>
      </c>
      <c r="M193" s="25">
        <f ca="1">IFERROR(__xludf.DUMMYFUNCTION("""COMPUTED_VALUE"""),89.77143)</f>
        <v>89.771429999999995</v>
      </c>
      <c r="N193" s="25"/>
      <c r="O1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3" s="25" t="str">
        <f ca="1">IFERROR(__xludf.DUMMYFUNCTION("""COMPUTED_VALUE"""),"ফলদ, বনজ")</f>
        <v>ফলদ, বনজ</v>
      </c>
      <c r="Q193" s="25">
        <f ca="1">IFERROR(__xludf.DUMMYFUNCTION("""COMPUTED_VALUE"""),5)</f>
        <v>5</v>
      </c>
      <c r="R193" s="25"/>
      <c r="S193" s="25"/>
      <c r="T193" s="25"/>
      <c r="U193" s="25" t="str">
        <f ca="1">IFERROR(__xludf.DUMMYFUNCTION("""COMPUTED_VALUE"""),"মোঃ আকরাম হোসেন")</f>
        <v>মোঃ আকরাম হোসেন</v>
      </c>
      <c r="V193" s="25" t="str">
        <f ca="1">IFERROR(__xludf.DUMMYFUNCTION("""COMPUTED_VALUE"""),"০১৫১৯৬০৬০১০")</f>
        <v>০১৫১৯৬০৬০১০</v>
      </c>
      <c r="W193" s="25" t="str">
        <f ca="1">IFERROR(__xludf.DUMMYFUNCTION("""COMPUTED_VALUE"""),"মোছাঃ দিলশাদ জাহান
")</f>
        <v xml:space="preserve">মোছাঃ দিলশাদ জাহান
</v>
      </c>
      <c r="X193" s="25" t="str">
        <f ca="1">IFERROR(__xludf.DUMMYFUNCTION("""COMPUTED_VALUE"""),"০১৯৩৭৩৭১৬০৪")</f>
        <v>০১৯৩৭৩৭১৬০৪</v>
      </c>
      <c r="Y193" s="25"/>
      <c r="Z193" s="25"/>
      <c r="AA193" s="25"/>
      <c r="AB193" s="25"/>
      <c r="AC193" s="25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spans="1:40" ht="15" customHeight="1" x14ac:dyDescent="0.15">
      <c r="A194" s="21"/>
      <c r="B194" s="21"/>
      <c r="C194" s="21" t="str">
        <f ca="1">IFERROR(__xludf.DUMMYFUNCTION("""COMPUTED_VALUE"""),"রংপুর")</f>
        <v>রংপুর</v>
      </c>
      <c r="D194" s="21" t="str">
        <f ca="1">IFERROR(__xludf.DUMMYFUNCTION("""COMPUTED_VALUE"""),"রংপুর")</f>
        <v>রংপুর</v>
      </c>
      <c r="E194" s="21" t="str">
        <f ca="1">IFERROR(__xludf.DUMMYFUNCTION("""COMPUTED_VALUE"""),"কুড়িগ্রাম")</f>
        <v>কুড়িগ্রাম</v>
      </c>
      <c r="F194" s="21" t="str">
        <f ca="1">IFERROR(__xludf.DUMMYFUNCTION("""COMPUTED_VALUE"""),"চর রাজিবপুর")</f>
        <v>চর রাজিবপুর</v>
      </c>
      <c r="G194" s="21"/>
      <c r="H194" s="21"/>
      <c r="I194" s="21"/>
      <c r="J194" s="21" t="str">
        <f ca="1">IFERROR(__xludf.DUMMYFUNCTION("""COMPUTED_VALUE"""),"প্রণোদনা")</f>
        <v>প্রণোদনা</v>
      </c>
      <c r="K194" s="21"/>
      <c r="L194" s="21">
        <f ca="1">IFERROR(__xludf.DUMMYFUNCTION("""COMPUTED_VALUE"""),25.42284)</f>
        <v>25.422840000000001</v>
      </c>
      <c r="M194" s="21">
        <f ca="1">IFERROR(__xludf.DUMMYFUNCTION("""COMPUTED_VALUE"""),89.77108)</f>
        <v>89.771079999999998</v>
      </c>
      <c r="N194" s="21"/>
      <c r="O1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4" s="21" t="str">
        <f ca="1">IFERROR(__xludf.DUMMYFUNCTION("""COMPUTED_VALUE"""),"ফলদ, বনজ")</f>
        <v>ফলদ, বনজ</v>
      </c>
      <c r="Q194" s="21">
        <f ca="1">IFERROR(__xludf.DUMMYFUNCTION("""COMPUTED_VALUE"""),5)</f>
        <v>5</v>
      </c>
      <c r="R194" s="21"/>
      <c r="S194" s="21"/>
      <c r="T194" s="21"/>
      <c r="U194" s="21" t="str">
        <f ca="1">IFERROR(__xludf.DUMMYFUNCTION("""COMPUTED_VALUE"""),"মোঃ হাফিজুর")</f>
        <v>মোঃ হাফিজুর</v>
      </c>
      <c r="V194" s="21" t="str">
        <f ca="1">IFERROR(__xludf.DUMMYFUNCTION("""COMPUTED_VALUE"""),"০১৯৩৪৭৮৮৯৩৪")</f>
        <v>০১৯৩৪৭৮৮৯৩৪</v>
      </c>
      <c r="W194" s="21" t="str">
        <f ca="1">IFERROR(__xludf.DUMMYFUNCTION("""COMPUTED_VALUE"""),"মোছাঃ দিলশাদ জাহান
")</f>
        <v xml:space="preserve">মোছাঃ দিলশাদ জাহান
</v>
      </c>
      <c r="X194" s="21" t="str">
        <f ca="1">IFERROR(__xludf.DUMMYFUNCTION("""COMPUTED_VALUE"""),"০১৯৩৭৩৭১৬০৪")</f>
        <v>০১৯৩৭৩৭১৬০৪</v>
      </c>
      <c r="Y194" s="21"/>
      <c r="Z194" s="21"/>
      <c r="AA194" s="21"/>
      <c r="AB194" s="21"/>
      <c r="AC194" s="21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 spans="1:40" ht="15" customHeight="1" x14ac:dyDescent="0.15">
      <c r="A195" s="25"/>
      <c r="B195" s="25"/>
      <c r="C195" s="25" t="str">
        <f ca="1">IFERROR(__xludf.DUMMYFUNCTION("""COMPUTED_VALUE"""),"রংপুর")</f>
        <v>রংপুর</v>
      </c>
      <c r="D195" s="25" t="str">
        <f ca="1">IFERROR(__xludf.DUMMYFUNCTION("""COMPUTED_VALUE"""),"রংপুর")</f>
        <v>রংপুর</v>
      </c>
      <c r="E195" s="25" t="str">
        <f ca="1">IFERROR(__xludf.DUMMYFUNCTION("""COMPUTED_VALUE"""),"কুড়িগ্রাম")</f>
        <v>কুড়িগ্রাম</v>
      </c>
      <c r="F195" s="25" t="str">
        <f ca="1">IFERROR(__xludf.DUMMYFUNCTION("""COMPUTED_VALUE"""),"চর রাজিবপুর")</f>
        <v>চর রাজিবপুর</v>
      </c>
      <c r="G195" s="25"/>
      <c r="H195" s="25"/>
      <c r="I195" s="25"/>
      <c r="J195" s="25" t="str">
        <f ca="1">IFERROR(__xludf.DUMMYFUNCTION("""COMPUTED_VALUE"""),"প্রণোদনা")</f>
        <v>প্রণোদনা</v>
      </c>
      <c r="K195" s="25"/>
      <c r="L195" s="25">
        <f ca="1">IFERROR(__xludf.DUMMYFUNCTION("""COMPUTED_VALUE"""),25.4298)</f>
        <v>25.4298</v>
      </c>
      <c r="M195" s="25">
        <f ca="1">IFERROR(__xludf.DUMMYFUNCTION("""COMPUTED_VALUE"""),89.77101)</f>
        <v>89.771010000000004</v>
      </c>
      <c r="N195" s="25"/>
      <c r="O1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5" s="25" t="str">
        <f ca="1">IFERROR(__xludf.DUMMYFUNCTION("""COMPUTED_VALUE"""),"ফলদ, বনজ")</f>
        <v>ফলদ, বনজ</v>
      </c>
      <c r="Q195" s="25">
        <f ca="1">IFERROR(__xludf.DUMMYFUNCTION("""COMPUTED_VALUE"""),5)</f>
        <v>5</v>
      </c>
      <c r="R195" s="25"/>
      <c r="S195" s="25"/>
      <c r="T195" s="25"/>
      <c r="U195" s="25" t="str">
        <f ca="1">IFERROR(__xludf.DUMMYFUNCTION("""COMPUTED_VALUE"""),"মোঃ শফিকুল ইসলাম")</f>
        <v>মোঃ শফিকুল ইসলাম</v>
      </c>
      <c r="V195" s="25" t="str">
        <f ca="1">IFERROR(__xludf.DUMMYFUNCTION("""COMPUTED_VALUE"""),"০১৭৮১১৭৫৫৬৫")</f>
        <v>০১৭৮১১৭৫৫৬৫</v>
      </c>
      <c r="W195" s="25" t="str">
        <f ca="1">IFERROR(__xludf.DUMMYFUNCTION("""COMPUTED_VALUE"""),"মোছাঃ দিলশাদ জাহান
")</f>
        <v xml:space="preserve">মোছাঃ দিলশাদ জাহান
</v>
      </c>
      <c r="X195" s="25" t="str">
        <f ca="1">IFERROR(__xludf.DUMMYFUNCTION("""COMPUTED_VALUE"""),"০১৯৩৭৩৭১৬০৪")</f>
        <v>০১৯৩৭৩৭১৬০৪</v>
      </c>
      <c r="Y195" s="25"/>
      <c r="Z195" s="25"/>
      <c r="AA195" s="25"/>
      <c r="AB195" s="25"/>
      <c r="AC195" s="25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spans="1:40" ht="15" customHeight="1" x14ac:dyDescent="0.15">
      <c r="A196" s="21"/>
      <c r="B196" s="21"/>
      <c r="C196" s="21" t="str">
        <f ca="1">IFERROR(__xludf.DUMMYFUNCTION("""COMPUTED_VALUE"""),"রংপুর")</f>
        <v>রংপুর</v>
      </c>
      <c r="D196" s="21" t="str">
        <f ca="1">IFERROR(__xludf.DUMMYFUNCTION("""COMPUTED_VALUE"""),"রংপুর")</f>
        <v>রংপুর</v>
      </c>
      <c r="E196" s="21" t="str">
        <f ca="1">IFERROR(__xludf.DUMMYFUNCTION("""COMPUTED_VALUE"""),"কুড়িগ্রাম")</f>
        <v>কুড়িগ্রাম</v>
      </c>
      <c r="F196" s="21" t="str">
        <f ca="1">IFERROR(__xludf.DUMMYFUNCTION("""COMPUTED_VALUE"""),"চর রাজিবপুর")</f>
        <v>চর রাজিবপুর</v>
      </c>
      <c r="G196" s="21"/>
      <c r="H196" s="21"/>
      <c r="I196" s="21"/>
      <c r="J196" s="21" t="str">
        <f ca="1">IFERROR(__xludf.DUMMYFUNCTION("""COMPUTED_VALUE"""),"প্রণোদনা")</f>
        <v>প্রণোদনা</v>
      </c>
      <c r="K196" s="21"/>
      <c r="L196" s="21">
        <f ca="1">IFERROR(__xludf.DUMMYFUNCTION("""COMPUTED_VALUE"""),25.42669)</f>
        <v>25.426690000000001</v>
      </c>
      <c r="M196" s="21">
        <f ca="1">IFERROR(__xludf.DUMMYFUNCTION("""COMPUTED_VALUE"""),89.77173)</f>
        <v>89.771730000000005</v>
      </c>
      <c r="N196" s="21"/>
      <c r="O1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6" s="21" t="str">
        <f ca="1">IFERROR(__xludf.DUMMYFUNCTION("""COMPUTED_VALUE"""),"ফলদ, বনজ")</f>
        <v>ফলদ, বনজ</v>
      </c>
      <c r="Q196" s="21">
        <f ca="1">IFERROR(__xludf.DUMMYFUNCTION("""COMPUTED_VALUE"""),5)</f>
        <v>5</v>
      </c>
      <c r="R196" s="21"/>
      <c r="S196" s="21"/>
      <c r="T196" s="21"/>
      <c r="U196" s="21" t="str">
        <f ca="1">IFERROR(__xludf.DUMMYFUNCTION("""COMPUTED_VALUE"""),"মোঃ অছিউজ্জামান")</f>
        <v>মোঃ অছিউজ্জামান</v>
      </c>
      <c r="V196" s="21" t="str">
        <f ca="1">IFERROR(__xludf.DUMMYFUNCTION("""COMPUTED_VALUE"""),"০১৪০৬২১৭৭৭১")</f>
        <v>০১৪০৬২১৭৭৭১</v>
      </c>
      <c r="W196" s="21" t="str">
        <f ca="1">IFERROR(__xludf.DUMMYFUNCTION("""COMPUTED_VALUE"""),"মোছাঃ দিলশাদ জাহান
")</f>
        <v xml:space="preserve">মোছাঃ দিলশাদ জাহান
</v>
      </c>
      <c r="X196" s="21" t="str">
        <f ca="1">IFERROR(__xludf.DUMMYFUNCTION("""COMPUTED_VALUE"""),"০১৯৩৭৩৭১৬০৪")</f>
        <v>০১৯৩৭৩৭১৬০৪</v>
      </c>
      <c r="Y196" s="21"/>
      <c r="Z196" s="21"/>
      <c r="AA196" s="21"/>
      <c r="AB196" s="21"/>
      <c r="AC196" s="21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 spans="1:40" ht="15" customHeight="1" x14ac:dyDescent="0.15">
      <c r="A197" s="25"/>
      <c r="B197" s="25"/>
      <c r="C197" s="25" t="str">
        <f ca="1">IFERROR(__xludf.DUMMYFUNCTION("""COMPUTED_VALUE"""),"রংপুর")</f>
        <v>রংপুর</v>
      </c>
      <c r="D197" s="25" t="str">
        <f ca="1">IFERROR(__xludf.DUMMYFUNCTION("""COMPUTED_VALUE"""),"রংপুর")</f>
        <v>রংপুর</v>
      </c>
      <c r="E197" s="25" t="str">
        <f ca="1">IFERROR(__xludf.DUMMYFUNCTION("""COMPUTED_VALUE"""),"কুড়িগ্রাম")</f>
        <v>কুড়িগ্রাম</v>
      </c>
      <c r="F197" s="25" t="str">
        <f ca="1">IFERROR(__xludf.DUMMYFUNCTION("""COMPUTED_VALUE"""),"চর রাজিবপুর")</f>
        <v>চর রাজিবপুর</v>
      </c>
      <c r="G197" s="25"/>
      <c r="H197" s="25"/>
      <c r="I197" s="25"/>
      <c r="J197" s="25" t="str">
        <f ca="1">IFERROR(__xludf.DUMMYFUNCTION("""COMPUTED_VALUE"""),"প্রণোদনা")</f>
        <v>প্রণোদনা</v>
      </c>
      <c r="K197" s="25"/>
      <c r="L197" s="25">
        <f ca="1">IFERROR(__xludf.DUMMYFUNCTION("""COMPUTED_VALUE"""),25.42811)</f>
        <v>25.42811</v>
      </c>
      <c r="M197" s="25">
        <f ca="1">IFERROR(__xludf.DUMMYFUNCTION("""COMPUTED_VALUE"""),89.77108)</f>
        <v>89.771079999999998</v>
      </c>
      <c r="N197" s="25"/>
      <c r="O19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7" s="25" t="str">
        <f ca="1">IFERROR(__xludf.DUMMYFUNCTION("""COMPUTED_VALUE"""),"ফলদ, বনজ")</f>
        <v>ফলদ, বনজ</v>
      </c>
      <c r="Q197" s="25">
        <f ca="1">IFERROR(__xludf.DUMMYFUNCTION("""COMPUTED_VALUE"""),5)</f>
        <v>5</v>
      </c>
      <c r="R197" s="25"/>
      <c r="S197" s="25"/>
      <c r="T197" s="25"/>
      <c r="U197" s="25" t="str">
        <f ca="1">IFERROR(__xludf.DUMMYFUNCTION("""COMPUTED_VALUE"""),"মোছাঃ তানজিনা খাতুন")</f>
        <v>মোছাঃ তানজিনা খাতুন</v>
      </c>
      <c r="V197" s="25" t="str">
        <f ca="1">IFERROR(__xludf.DUMMYFUNCTION("""COMPUTED_VALUE"""),"০১৬৪৫৭৫০৪০৭")</f>
        <v>০১৬৪৫৭৫০৪০৭</v>
      </c>
      <c r="W197" s="25" t="str">
        <f ca="1">IFERROR(__xludf.DUMMYFUNCTION("""COMPUTED_VALUE"""),"মোছাঃ দিলশাদ জাহান
")</f>
        <v xml:space="preserve">মোছাঃ দিলশাদ জাহান
</v>
      </c>
      <c r="X197" s="25" t="str">
        <f ca="1">IFERROR(__xludf.DUMMYFUNCTION("""COMPUTED_VALUE"""),"০১৯৩৭৩৭১৬০৪")</f>
        <v>০১৯৩৭৩৭১৬০৪</v>
      </c>
      <c r="Y197" s="25"/>
      <c r="Z197" s="25"/>
      <c r="AA197" s="25"/>
      <c r="AB197" s="25"/>
      <c r="AC197" s="25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spans="1:40" ht="15" customHeight="1" x14ac:dyDescent="0.15">
      <c r="A198" s="21"/>
      <c r="B198" s="21"/>
      <c r="C198" s="21" t="str">
        <f ca="1">IFERROR(__xludf.DUMMYFUNCTION("""COMPUTED_VALUE"""),"রংপুর")</f>
        <v>রংপুর</v>
      </c>
      <c r="D198" s="21" t="str">
        <f ca="1">IFERROR(__xludf.DUMMYFUNCTION("""COMPUTED_VALUE"""),"রংপুর")</f>
        <v>রংপুর</v>
      </c>
      <c r="E198" s="21" t="str">
        <f ca="1">IFERROR(__xludf.DUMMYFUNCTION("""COMPUTED_VALUE"""),"কুড়িগ্রাম")</f>
        <v>কুড়িগ্রাম</v>
      </c>
      <c r="F198" s="21" t="str">
        <f ca="1">IFERROR(__xludf.DUMMYFUNCTION("""COMPUTED_VALUE"""),"চর রাজিবপুর")</f>
        <v>চর রাজিবপুর</v>
      </c>
      <c r="G198" s="21"/>
      <c r="H198" s="21"/>
      <c r="I198" s="21"/>
      <c r="J198" s="21" t="str">
        <f ca="1">IFERROR(__xludf.DUMMYFUNCTION("""COMPUTED_VALUE"""),"প্রণোদনা")</f>
        <v>প্রণোদনা</v>
      </c>
      <c r="K198" s="21"/>
      <c r="L198" s="21">
        <f ca="1">IFERROR(__xludf.DUMMYFUNCTION("""COMPUTED_VALUE"""),25.42482)</f>
        <v>25.42482</v>
      </c>
      <c r="M198" s="21">
        <f ca="1">IFERROR(__xludf.DUMMYFUNCTION("""COMPUTED_VALUE"""),89.76615)</f>
        <v>89.766149999999996</v>
      </c>
      <c r="N198" s="21"/>
      <c r="O19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8" s="21" t="str">
        <f ca="1">IFERROR(__xludf.DUMMYFUNCTION("""COMPUTED_VALUE"""),"ফলদ, বনজ")</f>
        <v>ফলদ, বনজ</v>
      </c>
      <c r="Q198" s="21">
        <f ca="1">IFERROR(__xludf.DUMMYFUNCTION("""COMPUTED_VALUE"""),5)</f>
        <v>5</v>
      </c>
      <c r="R198" s="21"/>
      <c r="S198" s="21"/>
      <c r="T198" s="21"/>
      <c r="U198" s="21" t="str">
        <f ca="1">IFERROR(__xludf.DUMMYFUNCTION("""COMPUTED_VALUE"""),"মোছাঃ আসমাউল হুসনা")</f>
        <v>মোছাঃ আসমাউল হুসনা</v>
      </c>
      <c r="V198" s="21" t="str">
        <f ca="1">IFERROR(__xludf.DUMMYFUNCTION("""COMPUTED_VALUE"""),"০১৭০৫১০৫৩৪৬")</f>
        <v>০১৭০৫১০৫৩৪৬</v>
      </c>
      <c r="W198" s="21" t="str">
        <f ca="1">IFERROR(__xludf.DUMMYFUNCTION("""COMPUTED_VALUE"""),"মোছাঃ দিলশাদ জাহান
")</f>
        <v xml:space="preserve">মোছাঃ দিলশাদ জাহান
</v>
      </c>
      <c r="X198" s="21" t="str">
        <f ca="1">IFERROR(__xludf.DUMMYFUNCTION("""COMPUTED_VALUE"""),"০১৯৩৭৩৭১৬০৪")</f>
        <v>০১৯৩৭৩৭১৬০৪</v>
      </c>
      <c r="Y198" s="21"/>
      <c r="Z198" s="21"/>
      <c r="AA198" s="21"/>
      <c r="AB198" s="21"/>
      <c r="AC198" s="21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 spans="1:40" ht="15" customHeight="1" x14ac:dyDescent="0.15">
      <c r="A199" s="25"/>
      <c r="B199" s="25"/>
      <c r="C199" s="25" t="str">
        <f ca="1">IFERROR(__xludf.DUMMYFUNCTION("""COMPUTED_VALUE"""),"রংপুর")</f>
        <v>রংপুর</v>
      </c>
      <c r="D199" s="25" t="str">
        <f ca="1">IFERROR(__xludf.DUMMYFUNCTION("""COMPUTED_VALUE"""),"রংপুর")</f>
        <v>রংপুর</v>
      </c>
      <c r="E199" s="25" t="str">
        <f ca="1">IFERROR(__xludf.DUMMYFUNCTION("""COMPUTED_VALUE"""),"কুড়িগ্রাম")</f>
        <v>কুড়িগ্রাম</v>
      </c>
      <c r="F199" s="25" t="str">
        <f ca="1">IFERROR(__xludf.DUMMYFUNCTION("""COMPUTED_VALUE"""),"চর রাজিবপুর")</f>
        <v>চর রাজিবপুর</v>
      </c>
      <c r="G199" s="25"/>
      <c r="H199" s="25"/>
      <c r="I199" s="25"/>
      <c r="J199" s="25" t="str">
        <f ca="1">IFERROR(__xludf.DUMMYFUNCTION("""COMPUTED_VALUE"""),"প্রণোদনা")</f>
        <v>প্রণোদনা</v>
      </c>
      <c r="K199" s="25"/>
      <c r="L199" s="25">
        <f ca="1">IFERROR(__xludf.DUMMYFUNCTION("""COMPUTED_VALUE"""),25.42489)</f>
        <v>25.424890000000001</v>
      </c>
      <c r="M199" s="25">
        <f ca="1">IFERROR(__xludf.DUMMYFUNCTION("""COMPUTED_VALUE"""),89.76602)</f>
        <v>89.766019999999997</v>
      </c>
      <c r="N199" s="25"/>
      <c r="O19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9" s="25" t="str">
        <f ca="1">IFERROR(__xludf.DUMMYFUNCTION("""COMPUTED_VALUE"""),"ফলদ, বনজ")</f>
        <v>ফলদ, বনজ</v>
      </c>
      <c r="Q199" s="25">
        <f ca="1">IFERROR(__xludf.DUMMYFUNCTION("""COMPUTED_VALUE"""),5)</f>
        <v>5</v>
      </c>
      <c r="R199" s="25"/>
      <c r="S199" s="25"/>
      <c r="T199" s="25"/>
      <c r="U199" s="25" t="str">
        <f ca="1">IFERROR(__xludf.DUMMYFUNCTION("""COMPUTED_VALUE"""),"মোঃ সিরাজ উদ্দৌল্লা")</f>
        <v>মোঃ সিরাজ উদ্দৌল্লা</v>
      </c>
      <c r="V199" s="25" t="str">
        <f ca="1">IFERROR(__xludf.DUMMYFUNCTION("""COMPUTED_VALUE"""),"০১৭০৬১০৫৩৪৬")</f>
        <v>০১৭০৬১০৫৩৪৬</v>
      </c>
      <c r="W199" s="25" t="str">
        <f ca="1">IFERROR(__xludf.DUMMYFUNCTION("""COMPUTED_VALUE"""),"মোঃ আতোয়ার হোসেন
")</f>
        <v xml:space="preserve">মোঃ আতোয়ার হোসেন
</v>
      </c>
      <c r="X199" s="25" t="str">
        <f ca="1">IFERROR(__xludf.DUMMYFUNCTION("""COMPUTED_VALUE"""),"০১৭১০৮২৫৬২৩")</f>
        <v>০১৭১০৮২৫৬২৩</v>
      </c>
      <c r="Y199" s="25"/>
      <c r="Z199" s="25"/>
      <c r="AA199" s="25"/>
      <c r="AB199" s="25"/>
      <c r="AC199" s="25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spans="1:40" ht="15" customHeight="1" x14ac:dyDescent="0.15">
      <c r="A200" s="21"/>
      <c r="B200" s="21"/>
      <c r="C200" s="21" t="str">
        <f ca="1">IFERROR(__xludf.DUMMYFUNCTION("""COMPUTED_VALUE"""),"রংপুর")</f>
        <v>রংপুর</v>
      </c>
      <c r="D200" s="21" t="str">
        <f ca="1">IFERROR(__xludf.DUMMYFUNCTION("""COMPUTED_VALUE"""),"রংপুর")</f>
        <v>রংপুর</v>
      </c>
      <c r="E200" s="21" t="str">
        <f ca="1">IFERROR(__xludf.DUMMYFUNCTION("""COMPUTED_VALUE"""),"কুড়িগ্রাম")</f>
        <v>কুড়িগ্রাম</v>
      </c>
      <c r="F200" s="21" t="str">
        <f ca="1">IFERROR(__xludf.DUMMYFUNCTION("""COMPUTED_VALUE"""),"চর রাজিবপুর")</f>
        <v>চর রাজিবপুর</v>
      </c>
      <c r="G200" s="21"/>
      <c r="H200" s="21"/>
      <c r="I200" s="21"/>
      <c r="J200" s="21" t="str">
        <f ca="1">IFERROR(__xludf.DUMMYFUNCTION("""COMPUTED_VALUE"""),"প্রণোদনা")</f>
        <v>প্রণোদনা</v>
      </c>
      <c r="K200" s="21"/>
      <c r="L200" s="21">
        <f ca="1">IFERROR(__xludf.DUMMYFUNCTION("""COMPUTED_VALUE"""),25.4275)</f>
        <v>25.427499999999998</v>
      </c>
      <c r="M200" s="21">
        <f ca="1">IFERROR(__xludf.DUMMYFUNCTION("""COMPUTED_VALUE"""),89.76555)</f>
        <v>89.765550000000005</v>
      </c>
      <c r="N200" s="21"/>
      <c r="O20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0" s="21" t="str">
        <f ca="1">IFERROR(__xludf.DUMMYFUNCTION("""COMPUTED_VALUE"""),"ফলদ, বনজ")</f>
        <v>ফলদ, বনজ</v>
      </c>
      <c r="Q200" s="21">
        <f ca="1">IFERROR(__xludf.DUMMYFUNCTION("""COMPUTED_VALUE"""),5)</f>
        <v>5</v>
      </c>
      <c r="R200" s="21"/>
      <c r="S200" s="21"/>
      <c r="T200" s="21"/>
      <c r="U200" s="21" t="str">
        <f ca="1">IFERROR(__xludf.DUMMYFUNCTION("""COMPUTED_VALUE"""),"মোঃ মেহের চান")</f>
        <v>মোঃ মেহের চান</v>
      </c>
      <c r="V200" s="21" t="str">
        <f ca="1">IFERROR(__xludf.DUMMYFUNCTION("""COMPUTED_VALUE"""),"০১৯১৭৬৮৩৯৫")</f>
        <v>০১৯১৭৬৮৩৯৫</v>
      </c>
      <c r="W200" s="21" t="str">
        <f ca="1">IFERROR(__xludf.DUMMYFUNCTION("""COMPUTED_VALUE"""),"মোঃ আতোয়ার হোসেন
")</f>
        <v xml:space="preserve">মোঃ আতোয়ার হোসেন
</v>
      </c>
      <c r="X200" s="21" t="str">
        <f ca="1">IFERROR(__xludf.DUMMYFUNCTION("""COMPUTED_VALUE"""),"০১৭১০৮২৫৬২৩")</f>
        <v>০১৭১০৮২৫৬২৩</v>
      </c>
      <c r="Y200" s="21"/>
      <c r="Z200" s="21"/>
      <c r="AA200" s="21"/>
      <c r="AB200" s="21"/>
      <c r="AC200" s="21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 spans="1:40" ht="15" customHeight="1" x14ac:dyDescent="0.15">
      <c r="A201" s="25"/>
      <c r="B201" s="25"/>
      <c r="C201" s="25" t="str">
        <f ca="1">IFERROR(__xludf.DUMMYFUNCTION("""COMPUTED_VALUE"""),"রংপুর")</f>
        <v>রংপুর</v>
      </c>
      <c r="D201" s="25" t="str">
        <f ca="1">IFERROR(__xludf.DUMMYFUNCTION("""COMPUTED_VALUE"""),"রংপুর")</f>
        <v>রংপুর</v>
      </c>
      <c r="E201" s="25" t="str">
        <f ca="1">IFERROR(__xludf.DUMMYFUNCTION("""COMPUTED_VALUE"""),"কুড়িগ্রাম")</f>
        <v>কুড়িগ্রাম</v>
      </c>
      <c r="F201" s="25" t="str">
        <f ca="1">IFERROR(__xludf.DUMMYFUNCTION("""COMPUTED_VALUE"""),"চর রাজিবপুর")</f>
        <v>চর রাজিবপুর</v>
      </c>
      <c r="G201" s="25"/>
      <c r="H201" s="25"/>
      <c r="I201" s="25"/>
      <c r="J201" s="25" t="str">
        <f ca="1">IFERROR(__xludf.DUMMYFUNCTION("""COMPUTED_VALUE"""),"প্রণোদনা")</f>
        <v>প্রণোদনা</v>
      </c>
      <c r="K201" s="25"/>
      <c r="L201" s="25">
        <f ca="1">IFERROR(__xludf.DUMMYFUNCTION("""COMPUTED_VALUE"""),25.42747)</f>
        <v>25.42747</v>
      </c>
      <c r="M201" s="25">
        <f ca="1">IFERROR(__xludf.DUMMYFUNCTION("""COMPUTED_VALUE"""),89.7655)</f>
        <v>89.765500000000003</v>
      </c>
      <c r="N201" s="25"/>
      <c r="O20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1" s="25" t="str">
        <f ca="1">IFERROR(__xludf.DUMMYFUNCTION("""COMPUTED_VALUE"""),"ফলদ, বনজ")</f>
        <v>ফলদ, বনজ</v>
      </c>
      <c r="Q201" s="25">
        <f ca="1">IFERROR(__xludf.DUMMYFUNCTION("""COMPUTED_VALUE"""),5)</f>
        <v>5</v>
      </c>
      <c r="R201" s="25"/>
      <c r="S201" s="25"/>
      <c r="T201" s="25"/>
      <c r="U201" s="25" t="str">
        <f ca="1">IFERROR(__xludf.DUMMYFUNCTION("""COMPUTED_VALUE"""),"মোঃ মাইদুল ইসলাম")</f>
        <v>মোঃ মাইদুল ইসলাম</v>
      </c>
      <c r="V201" s="25" t="str">
        <f ca="1">IFERROR(__xludf.DUMMYFUNCTION("""COMPUTED_VALUE"""),"০১৯১৭৬৮৩০৯৫")</f>
        <v>০১৯১৭৬৮৩০৯৫</v>
      </c>
      <c r="W201" s="25" t="str">
        <f ca="1">IFERROR(__xludf.DUMMYFUNCTION("""COMPUTED_VALUE"""),"মোঃ আতোয়ার হোসেন
")</f>
        <v xml:space="preserve">মোঃ আতোয়ার হোসেন
</v>
      </c>
      <c r="X201" s="25" t="str">
        <f ca="1">IFERROR(__xludf.DUMMYFUNCTION("""COMPUTED_VALUE"""),"০১৭১০৮২৫৬২৩")</f>
        <v>০১৭১০৮২৫৬২৩</v>
      </c>
      <c r="Y201" s="25"/>
      <c r="Z201" s="25"/>
      <c r="AA201" s="25"/>
      <c r="AB201" s="25"/>
      <c r="AC201" s="25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spans="1:40" ht="15" customHeight="1" x14ac:dyDescent="0.15">
      <c r="A202" s="21"/>
      <c r="B202" s="21"/>
      <c r="C202" s="21" t="str">
        <f ca="1">IFERROR(__xludf.DUMMYFUNCTION("""COMPUTED_VALUE"""),"রংপুর")</f>
        <v>রংপুর</v>
      </c>
      <c r="D202" s="21" t="str">
        <f ca="1">IFERROR(__xludf.DUMMYFUNCTION("""COMPUTED_VALUE"""),"রংপুর")</f>
        <v>রংপুর</v>
      </c>
      <c r="E202" s="21" t="str">
        <f ca="1">IFERROR(__xludf.DUMMYFUNCTION("""COMPUTED_VALUE"""),"কুড়িগ্রাম")</f>
        <v>কুড়িগ্রাম</v>
      </c>
      <c r="F202" s="21" t="str">
        <f ca="1">IFERROR(__xludf.DUMMYFUNCTION("""COMPUTED_VALUE"""),"চর রাজিবপুর")</f>
        <v>চর রাজিবপুর</v>
      </c>
      <c r="G202" s="21"/>
      <c r="H202" s="21"/>
      <c r="I202" s="21"/>
      <c r="J202" s="21" t="str">
        <f ca="1">IFERROR(__xludf.DUMMYFUNCTION("""COMPUTED_VALUE"""),"প্রণোদনা")</f>
        <v>প্রণোদনা</v>
      </c>
      <c r="K202" s="21"/>
      <c r="L202" s="21">
        <f ca="1">IFERROR(__xludf.DUMMYFUNCTION("""COMPUTED_VALUE"""),25.42533)</f>
        <v>25.425329999999999</v>
      </c>
      <c r="M202" s="21">
        <f ca="1">IFERROR(__xludf.DUMMYFUNCTION("""COMPUTED_VALUE"""),89.76436)</f>
        <v>89.764359999999996</v>
      </c>
      <c r="N202" s="21"/>
      <c r="O20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2" s="21" t="str">
        <f ca="1">IFERROR(__xludf.DUMMYFUNCTION("""COMPUTED_VALUE"""),"ফলদ, বনজ")</f>
        <v>ফলদ, বনজ</v>
      </c>
      <c r="Q202" s="21">
        <f ca="1">IFERROR(__xludf.DUMMYFUNCTION("""COMPUTED_VALUE"""),5)</f>
        <v>5</v>
      </c>
      <c r="R202" s="21"/>
      <c r="S202" s="21"/>
      <c r="T202" s="21"/>
      <c r="U202" s="21" t="str">
        <f ca="1">IFERROR(__xludf.DUMMYFUNCTION("""COMPUTED_VALUE"""),"মোঃ রবিউল ইসলাম")</f>
        <v>মোঃ রবিউল ইসলাম</v>
      </c>
      <c r="V202" s="21" t="str">
        <f ca="1">IFERROR(__xludf.DUMMYFUNCTION("""COMPUTED_VALUE"""),"০১৬০৮০৯৯২৮৭")</f>
        <v>০১৬০৮০৯৯২৮৭</v>
      </c>
      <c r="W202" s="21" t="str">
        <f ca="1">IFERROR(__xludf.DUMMYFUNCTION("""COMPUTED_VALUE"""),"মোঃ আতোয়ার হোসেন
")</f>
        <v xml:space="preserve">মোঃ আতোয়ার হোসেন
</v>
      </c>
      <c r="X202" s="21" t="str">
        <f ca="1">IFERROR(__xludf.DUMMYFUNCTION("""COMPUTED_VALUE"""),"০১৭১০৮২৫৬২৩")</f>
        <v>০১৭১০৮২৫৬২৩</v>
      </c>
      <c r="Y202" s="21"/>
      <c r="Z202" s="21"/>
      <c r="AA202" s="21"/>
      <c r="AB202" s="21"/>
      <c r="AC202" s="21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 spans="1:40" ht="15" customHeight="1" x14ac:dyDescent="0.15">
      <c r="A203" s="25"/>
      <c r="B203" s="25"/>
      <c r="C203" s="25" t="str">
        <f ca="1">IFERROR(__xludf.DUMMYFUNCTION("""COMPUTED_VALUE"""),"রংপুর")</f>
        <v>রংপুর</v>
      </c>
      <c r="D203" s="25" t="str">
        <f ca="1">IFERROR(__xludf.DUMMYFUNCTION("""COMPUTED_VALUE"""),"রংপুর")</f>
        <v>রংপুর</v>
      </c>
      <c r="E203" s="25" t="str">
        <f ca="1">IFERROR(__xludf.DUMMYFUNCTION("""COMPUTED_VALUE"""),"কুড়িগ্রাম")</f>
        <v>কুড়িগ্রাম</v>
      </c>
      <c r="F203" s="25" t="str">
        <f ca="1">IFERROR(__xludf.DUMMYFUNCTION("""COMPUTED_VALUE"""),"চর রাজিবপুর")</f>
        <v>চর রাজিবপুর</v>
      </c>
      <c r="G203" s="25"/>
      <c r="H203" s="25"/>
      <c r="I203" s="25"/>
      <c r="J203" s="25" t="str">
        <f ca="1">IFERROR(__xludf.DUMMYFUNCTION("""COMPUTED_VALUE"""),"প্রণোদনা")</f>
        <v>প্রণোদনা</v>
      </c>
      <c r="K203" s="25"/>
      <c r="L203" s="25">
        <f ca="1">IFERROR(__xludf.DUMMYFUNCTION("""COMPUTED_VALUE"""),25.42502)</f>
        <v>25.42502</v>
      </c>
      <c r="M203" s="25">
        <f ca="1">IFERROR(__xludf.DUMMYFUNCTION("""COMPUTED_VALUE"""),89.76367)</f>
        <v>89.763670000000005</v>
      </c>
      <c r="N203" s="25"/>
      <c r="O20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3" s="25" t="str">
        <f ca="1">IFERROR(__xludf.DUMMYFUNCTION("""COMPUTED_VALUE"""),"ফলদ, বনজ")</f>
        <v>ফলদ, বনজ</v>
      </c>
      <c r="Q203" s="25">
        <f ca="1">IFERROR(__xludf.DUMMYFUNCTION("""COMPUTED_VALUE"""),5)</f>
        <v>5</v>
      </c>
      <c r="R203" s="25"/>
      <c r="S203" s="25"/>
      <c r="T203" s="25"/>
      <c r="U203" s="25" t="str">
        <f ca="1">IFERROR(__xludf.DUMMYFUNCTION("""COMPUTED_VALUE"""),"মোছাঃ রুপালী বেগম")</f>
        <v>মোছাঃ রুপালী বেগম</v>
      </c>
      <c r="V203" s="25" t="str">
        <f ca="1">IFERROR(__xludf.DUMMYFUNCTION("""COMPUTED_VALUE"""),"০১৬০৮০৯৯২৮০")</f>
        <v>০১৬০৮০৯৯২৮০</v>
      </c>
      <c r="W203" s="25" t="str">
        <f ca="1">IFERROR(__xludf.DUMMYFUNCTION("""COMPUTED_VALUE"""),"মোঃ আতোয়ার হোসেন
")</f>
        <v xml:space="preserve">মোঃ আতোয়ার হোসেন
</v>
      </c>
      <c r="X203" s="25" t="str">
        <f ca="1">IFERROR(__xludf.DUMMYFUNCTION("""COMPUTED_VALUE"""),"০১৭১০৮২৫৬২৩")</f>
        <v>০১৭১০৮২৫৬২৩</v>
      </c>
      <c r="Y203" s="25"/>
      <c r="Z203" s="25"/>
      <c r="AA203" s="25"/>
      <c r="AB203" s="25"/>
      <c r="AC203" s="25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spans="1:40" ht="15" customHeight="1" x14ac:dyDescent="0.15">
      <c r="A204" s="21"/>
      <c r="B204" s="21"/>
      <c r="C204" s="21" t="str">
        <f ca="1">IFERROR(__xludf.DUMMYFUNCTION("""COMPUTED_VALUE"""),"রংপুর")</f>
        <v>রংপুর</v>
      </c>
      <c r="D204" s="21" t="str">
        <f ca="1">IFERROR(__xludf.DUMMYFUNCTION("""COMPUTED_VALUE"""),"রংপুর")</f>
        <v>রংপুর</v>
      </c>
      <c r="E204" s="21" t="str">
        <f ca="1">IFERROR(__xludf.DUMMYFUNCTION("""COMPUTED_VALUE"""),"কুড়িগ্রাম")</f>
        <v>কুড়িগ্রাম</v>
      </c>
      <c r="F204" s="21" t="str">
        <f ca="1">IFERROR(__xludf.DUMMYFUNCTION("""COMPUTED_VALUE"""),"চর রাজিবপুর")</f>
        <v>চর রাজিবপুর</v>
      </c>
      <c r="G204" s="21"/>
      <c r="H204" s="21"/>
      <c r="I204" s="21"/>
      <c r="J204" s="21" t="str">
        <f ca="1">IFERROR(__xludf.DUMMYFUNCTION("""COMPUTED_VALUE"""),"প্রণোদনা")</f>
        <v>প্রণোদনা</v>
      </c>
      <c r="K204" s="21"/>
      <c r="L204" s="21">
        <f ca="1">IFERROR(__xludf.DUMMYFUNCTION("""COMPUTED_VALUE"""),25.42606)</f>
        <v>25.42606</v>
      </c>
      <c r="M204" s="21">
        <f ca="1">IFERROR(__xludf.DUMMYFUNCTION("""COMPUTED_VALUE"""),89.76383)</f>
        <v>89.763829999999999</v>
      </c>
      <c r="N204" s="21"/>
      <c r="O20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4" s="21" t="str">
        <f ca="1">IFERROR(__xludf.DUMMYFUNCTION("""COMPUTED_VALUE"""),"ফলদ, বনজ")</f>
        <v>ফলদ, বনজ</v>
      </c>
      <c r="Q204" s="21">
        <f ca="1">IFERROR(__xludf.DUMMYFUNCTION("""COMPUTED_VALUE"""),5)</f>
        <v>5</v>
      </c>
      <c r="R204" s="21"/>
      <c r="S204" s="21"/>
      <c r="T204" s="21"/>
      <c r="U204" s="21" t="str">
        <f ca="1">IFERROR(__xludf.DUMMYFUNCTION("""COMPUTED_VALUE"""),"মোছাঃ মনির মিয়া")</f>
        <v>মোছাঃ মনির মিয়া</v>
      </c>
      <c r="V204" s="21" t="str">
        <f ca="1">IFERROR(__xludf.DUMMYFUNCTION("""COMPUTED_VALUE"""),"০১৮৫৯৭৯৩৮৩১")</f>
        <v>০১৮৫৯৭৯৩৮৩১</v>
      </c>
      <c r="W204" s="21" t="str">
        <f ca="1">IFERROR(__xludf.DUMMYFUNCTION("""COMPUTED_VALUE"""),"মোঃ আতোয়ার হোসেন
")</f>
        <v xml:space="preserve">মোঃ আতোয়ার হোসেন
</v>
      </c>
      <c r="X204" s="21" t="str">
        <f ca="1">IFERROR(__xludf.DUMMYFUNCTION("""COMPUTED_VALUE"""),"০১৭১০৮২৫৬২৩")</f>
        <v>০১৭১০৮২৫৬২৩</v>
      </c>
      <c r="Y204" s="21"/>
      <c r="Z204" s="21"/>
      <c r="AA204" s="21"/>
      <c r="AB204" s="21"/>
      <c r="AC204" s="21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spans="1:40" ht="15" customHeight="1" x14ac:dyDescent="0.15">
      <c r="A205" s="25"/>
      <c r="B205" s="25"/>
      <c r="C205" s="25" t="str">
        <f ca="1">IFERROR(__xludf.DUMMYFUNCTION("""COMPUTED_VALUE"""),"রংপুর")</f>
        <v>রংপুর</v>
      </c>
      <c r="D205" s="25" t="str">
        <f ca="1">IFERROR(__xludf.DUMMYFUNCTION("""COMPUTED_VALUE"""),"রংপুর")</f>
        <v>রংপুর</v>
      </c>
      <c r="E205" s="25" t="str">
        <f ca="1">IFERROR(__xludf.DUMMYFUNCTION("""COMPUTED_VALUE"""),"কুড়িগ্রাম")</f>
        <v>কুড়িগ্রাম</v>
      </c>
      <c r="F205" s="25" t="str">
        <f ca="1">IFERROR(__xludf.DUMMYFUNCTION("""COMPUTED_VALUE"""),"চর রাজিবপুর")</f>
        <v>চর রাজিবপুর</v>
      </c>
      <c r="G205" s="25"/>
      <c r="H205" s="25"/>
      <c r="I205" s="25"/>
      <c r="J205" s="25" t="str">
        <f ca="1">IFERROR(__xludf.DUMMYFUNCTION("""COMPUTED_VALUE"""),"প্রণোদনা")</f>
        <v>প্রণোদনা</v>
      </c>
      <c r="K205" s="25"/>
      <c r="L205" s="25">
        <f ca="1">IFERROR(__xludf.DUMMYFUNCTION("""COMPUTED_VALUE"""),25.403302)</f>
        <v>25.403302</v>
      </c>
      <c r="M205" s="25">
        <f ca="1">IFERROR(__xludf.DUMMYFUNCTION("""COMPUTED_VALUE"""),89.736597)</f>
        <v>89.736597000000003</v>
      </c>
      <c r="N205" s="25"/>
      <c r="O20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5" s="25" t="str">
        <f ca="1">IFERROR(__xludf.DUMMYFUNCTION("""COMPUTED_VALUE"""),"ফলদ, বনজ")</f>
        <v>ফলদ, বনজ</v>
      </c>
      <c r="Q205" s="25">
        <f ca="1">IFERROR(__xludf.DUMMYFUNCTION("""COMPUTED_VALUE"""),5)</f>
        <v>5</v>
      </c>
      <c r="R205" s="25"/>
      <c r="S205" s="25"/>
      <c r="T205" s="25"/>
      <c r="U205" s="25" t="str">
        <f ca="1">IFERROR(__xludf.DUMMYFUNCTION("""COMPUTED_VALUE"""),"মোঃ আনোয়ার হোসেন")</f>
        <v>মোঃ আনোয়ার হোসেন</v>
      </c>
      <c r="V205" s="25" t="str">
        <f ca="1">IFERROR(__xludf.DUMMYFUNCTION("""COMPUTED_VALUE"""),"০১৯৮৩৭৯৫৪২৯")</f>
        <v>০১৯৮৩৭৯৫৪২৯</v>
      </c>
      <c r="W205" s="25" t="str">
        <f ca="1">IFERROR(__xludf.DUMMYFUNCTION("""COMPUTED_VALUE"""),"মোঃ আতোয়ার হোসেন
")</f>
        <v xml:space="preserve">মোঃ আতোয়ার হোসেন
</v>
      </c>
      <c r="X205" s="25" t="str">
        <f ca="1">IFERROR(__xludf.DUMMYFUNCTION("""COMPUTED_VALUE"""),"০১৭১০৮২৫৬২৩")</f>
        <v>০১৭১০৮২৫৬২৩</v>
      </c>
      <c r="Y205" s="25"/>
      <c r="Z205" s="25"/>
      <c r="AA205" s="25"/>
      <c r="AB205" s="25"/>
      <c r="AC205" s="25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spans="1:40" ht="15" customHeight="1" x14ac:dyDescent="0.15">
      <c r="A206" s="21"/>
      <c r="B206" s="21"/>
      <c r="C206" s="21" t="str">
        <f ca="1">IFERROR(__xludf.DUMMYFUNCTION("""COMPUTED_VALUE"""),"রংপুর")</f>
        <v>রংপুর</v>
      </c>
      <c r="D206" s="21" t="str">
        <f ca="1">IFERROR(__xludf.DUMMYFUNCTION("""COMPUTED_VALUE"""),"রংপুর")</f>
        <v>রংপুর</v>
      </c>
      <c r="E206" s="21" t="str">
        <f ca="1">IFERROR(__xludf.DUMMYFUNCTION("""COMPUTED_VALUE"""),"কুড়িগ্রাম")</f>
        <v>কুড়িগ্রাম</v>
      </c>
      <c r="F206" s="21" t="str">
        <f ca="1">IFERROR(__xludf.DUMMYFUNCTION("""COMPUTED_VALUE"""),"চর রাজিবপুর")</f>
        <v>চর রাজিবপুর</v>
      </c>
      <c r="G206" s="21"/>
      <c r="H206" s="21"/>
      <c r="I206" s="21"/>
      <c r="J206" s="21" t="str">
        <f ca="1">IFERROR(__xludf.DUMMYFUNCTION("""COMPUTED_VALUE"""),"প্রণোদনা")</f>
        <v>প্রণোদনা</v>
      </c>
      <c r="K206" s="21"/>
      <c r="L206" s="21">
        <f ca="1">IFERROR(__xludf.DUMMYFUNCTION("""COMPUTED_VALUE"""),25.403302)</f>
        <v>25.403302</v>
      </c>
      <c r="M206" s="21">
        <f ca="1">IFERROR(__xludf.DUMMYFUNCTION("""COMPUTED_VALUE"""),89.736597)</f>
        <v>89.736597000000003</v>
      </c>
      <c r="N206" s="21"/>
      <c r="O20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6" s="21" t="str">
        <f ca="1">IFERROR(__xludf.DUMMYFUNCTION("""COMPUTED_VALUE"""),"ফলদ, বনজ")</f>
        <v>ফলদ, বনজ</v>
      </c>
      <c r="Q206" s="21">
        <f ca="1">IFERROR(__xludf.DUMMYFUNCTION("""COMPUTED_VALUE"""),5)</f>
        <v>5</v>
      </c>
      <c r="R206" s="21"/>
      <c r="S206" s="21"/>
      <c r="T206" s="21"/>
      <c r="U206" s="21" t="str">
        <f ca="1">IFERROR(__xludf.DUMMYFUNCTION("""COMPUTED_VALUE"""),"মোঃ শাবলু মিয়া")</f>
        <v>মোঃ শাবলু মিয়া</v>
      </c>
      <c r="V206" s="21" t="str">
        <f ca="1">IFERROR(__xludf.DUMMYFUNCTION("""COMPUTED_VALUE"""),"০১৩২২১৪৮৩২২")</f>
        <v>০১৩২২১৪৮৩২২</v>
      </c>
      <c r="W206" s="21" t="str">
        <f ca="1">IFERROR(__xludf.DUMMYFUNCTION("""COMPUTED_VALUE"""),"মোঃ আতোয়ার হোসেন
")</f>
        <v xml:space="preserve">মোঃ আতোয়ার হোসেন
</v>
      </c>
      <c r="X206" s="21" t="str">
        <f ca="1">IFERROR(__xludf.DUMMYFUNCTION("""COMPUTED_VALUE"""),"০১৭১০৮২৫৬২৩")</f>
        <v>০১৭১০৮২৫৬২৩</v>
      </c>
      <c r="Y206" s="21"/>
      <c r="Z206" s="21"/>
      <c r="AA206" s="21"/>
      <c r="AB206" s="21"/>
      <c r="AC206" s="21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 spans="1:40" ht="15" customHeight="1" x14ac:dyDescent="0.15">
      <c r="A207" s="25"/>
      <c r="B207" s="25"/>
      <c r="C207" s="25" t="str">
        <f ca="1">IFERROR(__xludf.DUMMYFUNCTION("""COMPUTED_VALUE"""),"রংপুর")</f>
        <v>রংপুর</v>
      </c>
      <c r="D207" s="25" t="str">
        <f ca="1">IFERROR(__xludf.DUMMYFUNCTION("""COMPUTED_VALUE"""),"রংপুর")</f>
        <v>রংপুর</v>
      </c>
      <c r="E207" s="25" t="str">
        <f ca="1">IFERROR(__xludf.DUMMYFUNCTION("""COMPUTED_VALUE"""),"কুড়িগ্রাম")</f>
        <v>কুড়িগ্রাম</v>
      </c>
      <c r="F207" s="25" t="str">
        <f ca="1">IFERROR(__xludf.DUMMYFUNCTION("""COMPUTED_VALUE"""),"চর রাজিবপুর")</f>
        <v>চর রাজিবপুর</v>
      </c>
      <c r="G207" s="25"/>
      <c r="H207" s="25"/>
      <c r="I207" s="25"/>
      <c r="J207" s="25" t="str">
        <f ca="1">IFERROR(__xludf.DUMMYFUNCTION("""COMPUTED_VALUE"""),"প্রণোদনা")</f>
        <v>প্রণোদনা</v>
      </c>
      <c r="K207" s="25"/>
      <c r="L207" s="25">
        <f ca="1">IFERROR(__xludf.DUMMYFUNCTION("""COMPUTED_VALUE"""),25.403302)</f>
        <v>25.403302</v>
      </c>
      <c r="M207" s="25">
        <f ca="1">IFERROR(__xludf.DUMMYFUNCTION("""COMPUTED_VALUE"""),89.736597)</f>
        <v>89.736597000000003</v>
      </c>
      <c r="N207" s="25"/>
      <c r="O20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7" s="25" t="str">
        <f ca="1">IFERROR(__xludf.DUMMYFUNCTION("""COMPUTED_VALUE"""),"ফলদ, বনজ")</f>
        <v>ফলদ, বনজ</v>
      </c>
      <c r="Q207" s="25">
        <f ca="1">IFERROR(__xludf.DUMMYFUNCTION("""COMPUTED_VALUE"""),5)</f>
        <v>5</v>
      </c>
      <c r="R207" s="25"/>
      <c r="S207" s="25"/>
      <c r="T207" s="25"/>
      <c r="U207" s="25" t="str">
        <f ca="1">IFERROR(__xludf.DUMMYFUNCTION("""COMPUTED_VALUE"""),"মোঃ আয়নাল হক")</f>
        <v>মোঃ আয়নাল হক</v>
      </c>
      <c r="V207" s="25" t="str">
        <f ca="1">IFERROR(__xludf.DUMMYFUNCTION("""COMPUTED_VALUE"""),"০১৮৭৪৫৮২৫৩৪")</f>
        <v>০১৮৭৪৫৮২৫৩৪</v>
      </c>
      <c r="W207" s="25" t="str">
        <f ca="1">IFERROR(__xludf.DUMMYFUNCTION("""COMPUTED_VALUE"""),"মোঃ আতোয়ার হোসেন
")</f>
        <v xml:space="preserve">মোঃ আতোয়ার হোসেন
</v>
      </c>
      <c r="X207" s="25" t="str">
        <f ca="1">IFERROR(__xludf.DUMMYFUNCTION("""COMPUTED_VALUE"""),"০১৭১০৮২৫৬২৩")</f>
        <v>০১৭১০৮২৫৬২৩</v>
      </c>
      <c r="Y207" s="25"/>
      <c r="Z207" s="25"/>
      <c r="AA207" s="25"/>
      <c r="AB207" s="25"/>
      <c r="AC207" s="25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spans="1:40" ht="15" customHeight="1" x14ac:dyDescent="0.15">
      <c r="A208" s="21"/>
      <c r="B208" s="21"/>
      <c r="C208" s="21" t="str">
        <f ca="1">IFERROR(__xludf.DUMMYFUNCTION("""COMPUTED_VALUE"""),"রংপুর")</f>
        <v>রংপুর</v>
      </c>
      <c r="D208" s="21" t="str">
        <f ca="1">IFERROR(__xludf.DUMMYFUNCTION("""COMPUTED_VALUE"""),"রংপুর")</f>
        <v>রংপুর</v>
      </c>
      <c r="E208" s="21" t="str">
        <f ca="1">IFERROR(__xludf.DUMMYFUNCTION("""COMPUTED_VALUE"""),"কুড়িগ্রাম")</f>
        <v>কুড়িগ্রাম</v>
      </c>
      <c r="F208" s="21" t="str">
        <f ca="1">IFERROR(__xludf.DUMMYFUNCTION("""COMPUTED_VALUE"""),"চর রাজিবপুর")</f>
        <v>চর রাজিবপুর</v>
      </c>
      <c r="G208" s="21"/>
      <c r="H208" s="21"/>
      <c r="I208" s="21"/>
      <c r="J208" s="21" t="str">
        <f ca="1">IFERROR(__xludf.DUMMYFUNCTION("""COMPUTED_VALUE"""),"প্রণোদনা")</f>
        <v>প্রণোদনা</v>
      </c>
      <c r="K208" s="21"/>
      <c r="L208" s="21">
        <f ca="1">IFERROR(__xludf.DUMMYFUNCTION("""COMPUTED_VALUE"""),25.4249)</f>
        <v>25.424900000000001</v>
      </c>
      <c r="M208" s="21">
        <f ca="1">IFERROR(__xludf.DUMMYFUNCTION("""COMPUTED_VALUE"""),89.77169)</f>
        <v>89.771690000000007</v>
      </c>
      <c r="N208" s="21"/>
      <c r="O20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8" s="21" t="str">
        <f ca="1">IFERROR(__xludf.DUMMYFUNCTION("""COMPUTED_VALUE"""),"ফলদ, বনজ")</f>
        <v>ফলদ, বনজ</v>
      </c>
      <c r="Q208" s="21">
        <f ca="1">IFERROR(__xludf.DUMMYFUNCTION("""COMPUTED_VALUE"""),5)</f>
        <v>5</v>
      </c>
      <c r="R208" s="21"/>
      <c r="S208" s="21"/>
      <c r="T208" s="21"/>
      <c r="U208" s="21" t="str">
        <f ca="1">IFERROR(__xludf.DUMMYFUNCTION("""COMPUTED_VALUE"""),"মোছাঃ নুরুন্নাহার বেগম")</f>
        <v>মোছাঃ নুরুন্নাহার বেগম</v>
      </c>
      <c r="V208" s="21" t="str">
        <f ca="1">IFERROR(__xludf.DUMMYFUNCTION("""COMPUTED_VALUE"""),"০১৯৯৭৪৩৭৪৪২")</f>
        <v>০১৯৯৭৪৩৭৪৪২</v>
      </c>
      <c r="W208" s="21" t="str">
        <f ca="1">IFERROR(__xludf.DUMMYFUNCTION("""COMPUTED_VALUE"""),"মোঃ আতোয়ার হোসেন
")</f>
        <v xml:space="preserve">মোঃ আতোয়ার হোসেন
</v>
      </c>
      <c r="X208" s="21" t="str">
        <f ca="1">IFERROR(__xludf.DUMMYFUNCTION("""COMPUTED_VALUE"""),"০১৭১০৮২৫৬২৩")</f>
        <v>০১৭১০৮২৫৬২৩</v>
      </c>
      <c r="Y208" s="21"/>
      <c r="Z208" s="21"/>
      <c r="AA208" s="21"/>
      <c r="AB208" s="21"/>
      <c r="AC208" s="21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 spans="1:40" ht="15" customHeight="1" x14ac:dyDescent="0.15">
      <c r="A209" s="25"/>
      <c r="B209" s="25"/>
      <c r="C209" s="25" t="str">
        <f ca="1">IFERROR(__xludf.DUMMYFUNCTION("""COMPUTED_VALUE"""),"রংপুর")</f>
        <v>রংপুর</v>
      </c>
      <c r="D209" s="25" t="str">
        <f ca="1">IFERROR(__xludf.DUMMYFUNCTION("""COMPUTED_VALUE"""),"রংপুর")</f>
        <v>রংপুর</v>
      </c>
      <c r="E209" s="25" t="str">
        <f ca="1">IFERROR(__xludf.DUMMYFUNCTION("""COMPUTED_VALUE"""),"কুড়িগ্রাম")</f>
        <v>কুড়িগ্রাম</v>
      </c>
      <c r="F209" s="25" t="str">
        <f ca="1">IFERROR(__xludf.DUMMYFUNCTION("""COMPUTED_VALUE"""),"চর রাজিবপুর")</f>
        <v>চর রাজিবপুর</v>
      </c>
      <c r="G209" s="25"/>
      <c r="H209" s="25"/>
      <c r="I209" s="25"/>
      <c r="J209" s="25" t="str">
        <f ca="1">IFERROR(__xludf.DUMMYFUNCTION("""COMPUTED_VALUE"""),"প্রণোদনা")</f>
        <v>প্রণোদনা</v>
      </c>
      <c r="K209" s="25"/>
      <c r="L209" s="25">
        <f ca="1">IFERROR(__xludf.DUMMYFUNCTION("""COMPUTED_VALUE"""),25.42515)</f>
        <v>25.425149999999999</v>
      </c>
      <c r="M209" s="25">
        <f ca="1">IFERROR(__xludf.DUMMYFUNCTION("""COMPUTED_VALUE"""),89.77137)</f>
        <v>89.771370000000005</v>
      </c>
      <c r="N209" s="25"/>
      <c r="O20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9" s="25" t="str">
        <f ca="1">IFERROR(__xludf.DUMMYFUNCTION("""COMPUTED_VALUE"""),"ফলদ, বনজ")</f>
        <v>ফলদ, বনজ</v>
      </c>
      <c r="Q209" s="25">
        <f ca="1">IFERROR(__xludf.DUMMYFUNCTION("""COMPUTED_VALUE"""),5)</f>
        <v>5</v>
      </c>
      <c r="R209" s="25"/>
      <c r="S209" s="25"/>
      <c r="T209" s="25"/>
      <c r="U209" s="25" t="str">
        <f ca="1">IFERROR(__xludf.DUMMYFUNCTION("""COMPUTED_VALUE"""),"মোছাঃ নাছিমা খাতুন")</f>
        <v>মোছাঃ নাছিমা খাতুন</v>
      </c>
      <c r="V209" s="25" t="str">
        <f ca="1">IFERROR(__xludf.DUMMYFUNCTION("""COMPUTED_VALUE"""),"০১৮১০৭০৭৬২৬")</f>
        <v>০১৮১০৭০৭৬২৬</v>
      </c>
      <c r="W209" s="25" t="str">
        <f ca="1">IFERROR(__xludf.DUMMYFUNCTION("""COMPUTED_VALUE"""),"মোঃ আতোয়ার হোসেন
")</f>
        <v xml:space="preserve">মোঃ আতোয়ার হোসেন
</v>
      </c>
      <c r="X209" s="25" t="str">
        <f ca="1">IFERROR(__xludf.DUMMYFUNCTION("""COMPUTED_VALUE"""),"০১৭১০৮২৫৬২৩")</f>
        <v>০১৭১০৮২৫৬২৩</v>
      </c>
      <c r="Y209" s="25"/>
      <c r="Z209" s="25"/>
      <c r="AA209" s="25"/>
      <c r="AB209" s="25"/>
      <c r="AC209" s="25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spans="1:40" ht="15" customHeight="1" x14ac:dyDescent="0.15">
      <c r="A210" s="21"/>
      <c r="B210" s="21"/>
      <c r="C210" s="21" t="str">
        <f ca="1">IFERROR(__xludf.DUMMYFUNCTION("""COMPUTED_VALUE"""),"রংপুর")</f>
        <v>রংপুর</v>
      </c>
      <c r="D210" s="21" t="str">
        <f ca="1">IFERROR(__xludf.DUMMYFUNCTION("""COMPUTED_VALUE"""),"রংপুর")</f>
        <v>রংপুর</v>
      </c>
      <c r="E210" s="21" t="str">
        <f ca="1">IFERROR(__xludf.DUMMYFUNCTION("""COMPUTED_VALUE"""),"কুড়িগ্রাম")</f>
        <v>কুড়িগ্রাম</v>
      </c>
      <c r="F210" s="21" t="str">
        <f ca="1">IFERROR(__xludf.DUMMYFUNCTION("""COMPUTED_VALUE"""),"চর রাজিবপুর")</f>
        <v>চর রাজিবপুর</v>
      </c>
      <c r="G210" s="21"/>
      <c r="H210" s="21"/>
      <c r="I210" s="21"/>
      <c r="J210" s="21" t="str">
        <f ca="1">IFERROR(__xludf.DUMMYFUNCTION("""COMPUTED_VALUE"""),"প্রণোদনা")</f>
        <v>প্রণোদনা</v>
      </c>
      <c r="K210" s="21"/>
      <c r="L210" s="21">
        <f ca="1">IFERROR(__xludf.DUMMYFUNCTION("""COMPUTED_VALUE"""),25.42481)</f>
        <v>25.424810000000001</v>
      </c>
      <c r="M210" s="21">
        <f ca="1">IFERROR(__xludf.DUMMYFUNCTION("""COMPUTED_VALUE"""),89.77102)</f>
        <v>89.771019999999993</v>
      </c>
      <c r="N210" s="21"/>
      <c r="O21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0" s="21" t="str">
        <f ca="1">IFERROR(__xludf.DUMMYFUNCTION("""COMPUTED_VALUE"""),"ফলদ, বনজ")</f>
        <v>ফলদ, বনজ</v>
      </c>
      <c r="Q210" s="21">
        <f ca="1">IFERROR(__xludf.DUMMYFUNCTION("""COMPUTED_VALUE"""),5)</f>
        <v>5</v>
      </c>
      <c r="R210" s="21"/>
      <c r="S210" s="21"/>
      <c r="T210" s="21"/>
      <c r="U210" s="21" t="str">
        <f ca="1">IFERROR(__xludf.DUMMYFUNCTION("""COMPUTED_VALUE"""),"মোঃ আব্দুল আজিজ")</f>
        <v>মোঃ আব্দুল আজিজ</v>
      </c>
      <c r="V210" s="21" t="str">
        <f ca="1">IFERROR(__xludf.DUMMYFUNCTION("""COMPUTED_VALUE"""),"০১৬১০৩২৯১৫৪")</f>
        <v>০১৬১০৩২৯১৫৪</v>
      </c>
      <c r="W210" s="21" t="str">
        <f ca="1">IFERROR(__xludf.DUMMYFUNCTION("""COMPUTED_VALUE"""),"মোঃ আতোয়ার হোসেন
")</f>
        <v xml:space="preserve">মোঃ আতোয়ার হোসেন
</v>
      </c>
      <c r="X210" s="21" t="str">
        <f ca="1">IFERROR(__xludf.DUMMYFUNCTION("""COMPUTED_VALUE"""),"০১৭১০৮২৫৬২৩")</f>
        <v>০১৭১০৮২৫৬২৩</v>
      </c>
      <c r="Y210" s="21"/>
      <c r="Z210" s="21"/>
      <c r="AA210" s="21"/>
      <c r="AB210" s="21"/>
      <c r="AC210" s="21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 spans="1:40" ht="15" customHeight="1" x14ac:dyDescent="0.15">
      <c r="A211" s="25"/>
      <c r="B211" s="25"/>
      <c r="C211" s="25" t="str">
        <f ca="1">IFERROR(__xludf.DUMMYFUNCTION("""COMPUTED_VALUE"""),"রংপুর")</f>
        <v>রংপুর</v>
      </c>
      <c r="D211" s="25" t="str">
        <f ca="1">IFERROR(__xludf.DUMMYFUNCTION("""COMPUTED_VALUE"""),"রংপুর")</f>
        <v>রংপুর</v>
      </c>
      <c r="E211" s="25" t="str">
        <f ca="1">IFERROR(__xludf.DUMMYFUNCTION("""COMPUTED_VALUE"""),"কুড়িগ্রাম")</f>
        <v>কুড়িগ্রাম</v>
      </c>
      <c r="F211" s="25" t="str">
        <f ca="1">IFERROR(__xludf.DUMMYFUNCTION("""COMPUTED_VALUE"""),"চর রাজিবপুর")</f>
        <v>চর রাজিবপুর</v>
      </c>
      <c r="G211" s="25"/>
      <c r="H211" s="25"/>
      <c r="I211" s="25"/>
      <c r="J211" s="25" t="str">
        <f ca="1">IFERROR(__xludf.DUMMYFUNCTION("""COMPUTED_VALUE"""),"প্রণোদনা")</f>
        <v>প্রণোদনা</v>
      </c>
      <c r="K211" s="25"/>
      <c r="L211" s="25">
        <f ca="1">IFERROR(__xludf.DUMMYFUNCTION("""COMPUTED_VALUE"""),25.4285)</f>
        <v>25.4285</v>
      </c>
      <c r="M211" s="25">
        <f ca="1">IFERROR(__xludf.DUMMYFUNCTION("""COMPUTED_VALUE"""),89.77186)</f>
        <v>89.771860000000004</v>
      </c>
      <c r="N211" s="25"/>
      <c r="O21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1" s="25" t="str">
        <f ca="1">IFERROR(__xludf.DUMMYFUNCTION("""COMPUTED_VALUE"""),"ফলদ, বনজ")</f>
        <v>ফলদ, বনজ</v>
      </c>
      <c r="Q211" s="25">
        <f ca="1">IFERROR(__xludf.DUMMYFUNCTION("""COMPUTED_VALUE"""),5)</f>
        <v>5</v>
      </c>
      <c r="R211" s="25"/>
      <c r="S211" s="25"/>
      <c r="T211" s="25"/>
      <c r="U211" s="25" t="str">
        <f ca="1">IFERROR(__xludf.DUMMYFUNCTION("""COMPUTED_VALUE"""),"মোঃ মতিউর রহমান")</f>
        <v>মোঃ মতিউর রহমান</v>
      </c>
      <c r="V211" s="25" t="str">
        <f ca="1">IFERROR(__xludf.DUMMYFUNCTION("""COMPUTED_VALUE"""),"০১৯৩৭১৭৭৯৫২")</f>
        <v>০১৯৩৭১৭৭৯৫২</v>
      </c>
      <c r="W211" s="25" t="str">
        <f ca="1">IFERROR(__xludf.DUMMYFUNCTION("""COMPUTED_VALUE"""),"মোঃ আতোয়ার হোসেন
")</f>
        <v xml:space="preserve">মোঃ আতোয়ার হোসেন
</v>
      </c>
      <c r="X211" s="25" t="str">
        <f ca="1">IFERROR(__xludf.DUMMYFUNCTION("""COMPUTED_VALUE"""),"০১৭১০৮২৫৬২৩")</f>
        <v>০১৭১০৮২৫৬২৩</v>
      </c>
      <c r="Y211" s="25"/>
      <c r="Z211" s="25"/>
      <c r="AA211" s="25"/>
      <c r="AB211" s="25"/>
      <c r="AC211" s="25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spans="1:40" ht="15" customHeight="1" x14ac:dyDescent="0.15">
      <c r="A212" s="21"/>
      <c r="B212" s="21"/>
      <c r="C212" s="21" t="str">
        <f ca="1">IFERROR(__xludf.DUMMYFUNCTION("""COMPUTED_VALUE"""),"রংপুর")</f>
        <v>রংপুর</v>
      </c>
      <c r="D212" s="21" t="str">
        <f ca="1">IFERROR(__xludf.DUMMYFUNCTION("""COMPUTED_VALUE"""),"রংপুর")</f>
        <v>রংপুর</v>
      </c>
      <c r="E212" s="21" t="str">
        <f ca="1">IFERROR(__xludf.DUMMYFUNCTION("""COMPUTED_VALUE"""),"কুড়িগ্রাম")</f>
        <v>কুড়িগ্রাম</v>
      </c>
      <c r="F212" s="21" t="str">
        <f ca="1">IFERROR(__xludf.DUMMYFUNCTION("""COMPUTED_VALUE"""),"চর রাজিবপুর")</f>
        <v>চর রাজিবপুর</v>
      </c>
      <c r="G212" s="21"/>
      <c r="H212" s="21"/>
      <c r="I212" s="21"/>
      <c r="J212" s="21" t="str">
        <f ca="1">IFERROR(__xludf.DUMMYFUNCTION("""COMPUTED_VALUE"""),"প্রণোদনা")</f>
        <v>প্রণোদনা</v>
      </c>
      <c r="K212" s="21"/>
      <c r="L212" s="21">
        <f ca="1">IFERROR(__xludf.DUMMYFUNCTION("""COMPUTED_VALUE"""),25.42492)</f>
        <v>25.42492</v>
      </c>
      <c r="M212" s="21">
        <f ca="1">IFERROR(__xludf.DUMMYFUNCTION("""COMPUTED_VALUE"""),89.77183)</f>
        <v>89.771829999999994</v>
      </c>
      <c r="N212" s="21"/>
      <c r="O21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2" s="21" t="str">
        <f ca="1">IFERROR(__xludf.DUMMYFUNCTION("""COMPUTED_VALUE"""),"ফলদ, বনজ")</f>
        <v>ফলদ, বনজ</v>
      </c>
      <c r="Q212" s="21">
        <f ca="1">IFERROR(__xludf.DUMMYFUNCTION("""COMPUTED_VALUE"""),5)</f>
        <v>5</v>
      </c>
      <c r="R212" s="21"/>
      <c r="S212" s="21"/>
      <c r="T212" s="21"/>
      <c r="U212" s="21" t="str">
        <f ca="1">IFERROR(__xludf.DUMMYFUNCTION("""COMPUTED_VALUE"""),"মোঃ মিজানুর রহমান")</f>
        <v>মোঃ মিজানুর রহমান</v>
      </c>
      <c r="V212" s="21" t="str">
        <f ca="1">IFERROR(__xludf.DUMMYFUNCTION("""COMPUTED_VALUE"""),"০১৯১৩৮৪৫২৫৩")</f>
        <v>০১৯১৩৮৪৫২৫৩</v>
      </c>
      <c r="W212" s="21" t="str">
        <f ca="1">IFERROR(__xludf.DUMMYFUNCTION("""COMPUTED_VALUE"""),"মোঃ আতোয়ার হোসেন
")</f>
        <v xml:space="preserve">মোঃ আতোয়ার হোসেন
</v>
      </c>
      <c r="X212" s="21" t="str">
        <f ca="1">IFERROR(__xludf.DUMMYFUNCTION("""COMPUTED_VALUE"""),"০১৭১০৮২৫৬২৩")</f>
        <v>০১৭১০৮২৫৬২৩</v>
      </c>
      <c r="Y212" s="21"/>
      <c r="Z212" s="21"/>
      <c r="AA212" s="21"/>
      <c r="AB212" s="21"/>
      <c r="AC212" s="21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 spans="1:40" ht="15" customHeight="1" x14ac:dyDescent="0.15">
      <c r="A213" s="25"/>
      <c r="B213" s="25"/>
      <c r="C213" s="25" t="str">
        <f ca="1">IFERROR(__xludf.DUMMYFUNCTION("""COMPUTED_VALUE"""),"রংপুর")</f>
        <v>রংপুর</v>
      </c>
      <c r="D213" s="25" t="str">
        <f ca="1">IFERROR(__xludf.DUMMYFUNCTION("""COMPUTED_VALUE"""),"রংপুর")</f>
        <v>রংপুর</v>
      </c>
      <c r="E213" s="25" t="str">
        <f ca="1">IFERROR(__xludf.DUMMYFUNCTION("""COMPUTED_VALUE"""),"কুড়িগ্রাম")</f>
        <v>কুড়িগ্রাম</v>
      </c>
      <c r="F213" s="25" t="str">
        <f ca="1">IFERROR(__xludf.DUMMYFUNCTION("""COMPUTED_VALUE"""),"চর রাজিবপুর")</f>
        <v>চর রাজিবপুর</v>
      </c>
      <c r="G213" s="25"/>
      <c r="H213" s="25"/>
      <c r="I213" s="25"/>
      <c r="J213" s="25" t="str">
        <f ca="1">IFERROR(__xludf.DUMMYFUNCTION("""COMPUTED_VALUE"""),"প্রণোদনা")</f>
        <v>প্রণোদনা</v>
      </c>
      <c r="K213" s="25"/>
      <c r="L213" s="25">
        <f ca="1">IFERROR(__xludf.DUMMYFUNCTION("""COMPUTED_VALUE"""),25.46405)</f>
        <v>25.46405</v>
      </c>
      <c r="M213" s="25">
        <f ca="1">IFERROR(__xludf.DUMMYFUNCTION("""COMPUTED_VALUE"""),89.77541)</f>
        <v>89.775409999999994</v>
      </c>
      <c r="N213" s="25"/>
      <c r="O21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3" s="25" t="str">
        <f ca="1">IFERROR(__xludf.DUMMYFUNCTION("""COMPUTED_VALUE"""),"ফলদ, বনজ")</f>
        <v>ফলদ, বনজ</v>
      </c>
      <c r="Q213" s="25">
        <f ca="1">IFERROR(__xludf.DUMMYFUNCTION("""COMPUTED_VALUE"""),5)</f>
        <v>5</v>
      </c>
      <c r="R213" s="25"/>
      <c r="S213" s="25"/>
      <c r="T213" s="25"/>
      <c r="U213" s="25" t="str">
        <f ca="1">IFERROR(__xludf.DUMMYFUNCTION("""COMPUTED_VALUE"""),"মোঃ হাসানুল হক")</f>
        <v>মোঃ হাসানুল হক</v>
      </c>
      <c r="V213" s="25" t="str">
        <f ca="1">IFERROR(__xludf.DUMMYFUNCTION("""COMPUTED_VALUE"""),"০১৮৬৪৮৬৮৬৫৮")</f>
        <v>০১৮৬৪৮৬৮৬৫৮</v>
      </c>
      <c r="W213" s="25" t="str">
        <f ca="1">IFERROR(__xludf.DUMMYFUNCTION("""COMPUTED_VALUE"""),"মোঃ আতোয়ার হোসেন
")</f>
        <v xml:space="preserve">মোঃ আতোয়ার হোসেন
</v>
      </c>
      <c r="X213" s="25" t="str">
        <f ca="1">IFERROR(__xludf.DUMMYFUNCTION("""COMPUTED_VALUE"""),"০১৭১০৮২৫৬২৩")</f>
        <v>০১৭১০৮২৫৬২৩</v>
      </c>
      <c r="Y213" s="25"/>
      <c r="Z213" s="25"/>
      <c r="AA213" s="25"/>
      <c r="AB213" s="25"/>
      <c r="AC213" s="25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spans="1:40" ht="15" customHeight="1" x14ac:dyDescent="0.15">
      <c r="A214" s="21"/>
      <c r="B214" s="21"/>
      <c r="C214" s="21" t="str">
        <f ca="1">IFERROR(__xludf.DUMMYFUNCTION("""COMPUTED_VALUE"""),"রংপুর")</f>
        <v>রংপুর</v>
      </c>
      <c r="D214" s="21" t="str">
        <f ca="1">IFERROR(__xludf.DUMMYFUNCTION("""COMPUTED_VALUE"""),"রংপুর")</f>
        <v>রংপুর</v>
      </c>
      <c r="E214" s="21" t="str">
        <f ca="1">IFERROR(__xludf.DUMMYFUNCTION("""COMPUTED_VALUE"""),"কুড়িগ্রাম")</f>
        <v>কুড়িগ্রাম</v>
      </c>
      <c r="F214" s="21" t="str">
        <f ca="1">IFERROR(__xludf.DUMMYFUNCTION("""COMPUTED_VALUE"""),"চর রাজিবপুর")</f>
        <v>চর রাজিবপুর</v>
      </c>
      <c r="G214" s="21"/>
      <c r="H214" s="21"/>
      <c r="I214" s="21"/>
      <c r="J214" s="21" t="str">
        <f ca="1">IFERROR(__xludf.DUMMYFUNCTION("""COMPUTED_VALUE"""),"প্রণোদনা")</f>
        <v>প্রণোদনা</v>
      </c>
      <c r="K214" s="21"/>
      <c r="L214" s="21">
        <f ca="1">IFERROR(__xludf.DUMMYFUNCTION("""COMPUTED_VALUE"""),25.463507)</f>
        <v>25.463507</v>
      </c>
      <c r="M214" s="21">
        <f ca="1">IFERROR(__xludf.DUMMYFUNCTION("""COMPUTED_VALUE"""),89.77526)</f>
        <v>89.775260000000003</v>
      </c>
      <c r="N214" s="21"/>
      <c r="O21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4" s="21" t="str">
        <f ca="1">IFERROR(__xludf.DUMMYFUNCTION("""COMPUTED_VALUE"""),"ফলদ, বনজ")</f>
        <v>ফলদ, বনজ</v>
      </c>
      <c r="Q214" s="21">
        <f ca="1">IFERROR(__xludf.DUMMYFUNCTION("""COMPUTED_VALUE"""),5)</f>
        <v>5</v>
      </c>
      <c r="R214" s="21"/>
      <c r="S214" s="21"/>
      <c r="T214" s="21"/>
      <c r="U214" s="21" t="str">
        <f ca="1">IFERROR(__xludf.DUMMYFUNCTION("""COMPUTED_VALUE"""),"মোঃ সোরহাব হোসেন")</f>
        <v>মোঃ সোরহাব হোসেন</v>
      </c>
      <c r="V214" s="21" t="str">
        <f ca="1">IFERROR(__xludf.DUMMYFUNCTION("""COMPUTED_VALUE"""),"০১৯৩৫৬৭৫৮৬৮")</f>
        <v>০১৯৩৫৬৭৫৮৬৮</v>
      </c>
      <c r="W214" s="21" t="str">
        <f ca="1">IFERROR(__xludf.DUMMYFUNCTION("""COMPUTED_VALUE"""),"মোঃ শফিকুল ইসলাম
")</f>
        <v xml:space="preserve">মোঃ শফিকুল ইসলাম
</v>
      </c>
      <c r="X214" s="21" t="str">
        <f ca="1">IFERROR(__xludf.DUMMYFUNCTION("""COMPUTED_VALUE"""),"০১৯২৪৬৯২০৭৫")</f>
        <v>০১৯২৪৬৯২০৭৫</v>
      </c>
      <c r="Y214" s="21"/>
      <c r="Z214" s="21"/>
      <c r="AA214" s="21"/>
      <c r="AB214" s="21"/>
      <c r="AC214" s="21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 spans="1:40" ht="15" customHeight="1" x14ac:dyDescent="0.15">
      <c r="A215" s="25"/>
      <c r="B215" s="25"/>
      <c r="C215" s="25" t="str">
        <f ca="1">IFERROR(__xludf.DUMMYFUNCTION("""COMPUTED_VALUE"""),"রংপুর")</f>
        <v>রংপুর</v>
      </c>
      <c r="D215" s="25" t="str">
        <f ca="1">IFERROR(__xludf.DUMMYFUNCTION("""COMPUTED_VALUE"""),"রংপুর")</f>
        <v>রংপুর</v>
      </c>
      <c r="E215" s="25" t="str">
        <f ca="1">IFERROR(__xludf.DUMMYFUNCTION("""COMPUTED_VALUE"""),"কুড়িগ্রাম")</f>
        <v>কুড়িগ্রাম</v>
      </c>
      <c r="F215" s="25" t="str">
        <f ca="1">IFERROR(__xludf.DUMMYFUNCTION("""COMPUTED_VALUE"""),"চর রাজিবপুর")</f>
        <v>চর রাজিবপুর</v>
      </c>
      <c r="G215" s="25"/>
      <c r="H215" s="25"/>
      <c r="I215" s="25"/>
      <c r="J215" s="25" t="str">
        <f ca="1">IFERROR(__xludf.DUMMYFUNCTION("""COMPUTED_VALUE"""),"প্রণোদনা")</f>
        <v>প্রণোদনা</v>
      </c>
      <c r="K215" s="25"/>
      <c r="L215" s="25">
        <f ca="1">IFERROR(__xludf.DUMMYFUNCTION("""COMPUTED_VALUE"""),25.463459)</f>
        <v>25.463459</v>
      </c>
      <c r="M215" s="25">
        <f ca="1">IFERROR(__xludf.DUMMYFUNCTION("""COMPUTED_VALUE"""),89.775239)</f>
        <v>89.775238999999999</v>
      </c>
      <c r="N215" s="25"/>
      <c r="O21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5" s="25" t="str">
        <f ca="1">IFERROR(__xludf.DUMMYFUNCTION("""COMPUTED_VALUE"""),"ফলদ, বনজ")</f>
        <v>ফলদ, বনজ</v>
      </c>
      <c r="Q215" s="25">
        <f ca="1">IFERROR(__xludf.DUMMYFUNCTION("""COMPUTED_VALUE"""),5)</f>
        <v>5</v>
      </c>
      <c r="R215" s="25"/>
      <c r="S215" s="25"/>
      <c r="T215" s="25"/>
      <c r="U215" s="25" t="str">
        <f ca="1">IFERROR(__xludf.DUMMYFUNCTION("""COMPUTED_VALUE"""),"মোঃ নুর ইসলাম")</f>
        <v>মোঃ নুর ইসলাম</v>
      </c>
      <c r="V215" s="25" t="str">
        <f ca="1">IFERROR(__xludf.DUMMYFUNCTION("""COMPUTED_VALUE"""),"০১৯৩৮৫৬২৩৫৪")</f>
        <v>০১৯৩৮৫৬২৩৫৪</v>
      </c>
      <c r="W215" s="25" t="str">
        <f ca="1">IFERROR(__xludf.DUMMYFUNCTION("""COMPUTED_VALUE"""),"মোঃ শফিকুল ইসলাম
")</f>
        <v xml:space="preserve">মোঃ শফিকুল ইসলাম
</v>
      </c>
      <c r="X215" s="25" t="str">
        <f ca="1">IFERROR(__xludf.DUMMYFUNCTION("""COMPUTED_VALUE"""),"০১৯২৪৬৯২০৭৫")</f>
        <v>০১৯২৪৬৯২০৭৫</v>
      </c>
      <c r="Y215" s="25"/>
      <c r="Z215" s="25"/>
      <c r="AA215" s="25"/>
      <c r="AB215" s="25"/>
      <c r="AC215" s="25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spans="1:40" ht="15" customHeight="1" x14ac:dyDescent="0.15">
      <c r="A216" s="21"/>
      <c r="B216" s="21"/>
      <c r="C216" s="21" t="str">
        <f ca="1">IFERROR(__xludf.DUMMYFUNCTION("""COMPUTED_VALUE"""),"রংপুর")</f>
        <v>রংপুর</v>
      </c>
      <c r="D216" s="21" t="str">
        <f ca="1">IFERROR(__xludf.DUMMYFUNCTION("""COMPUTED_VALUE"""),"রংপুর")</f>
        <v>রংপুর</v>
      </c>
      <c r="E216" s="21" t="str">
        <f ca="1">IFERROR(__xludf.DUMMYFUNCTION("""COMPUTED_VALUE"""),"কুড়িগ্রাম")</f>
        <v>কুড়িগ্রাম</v>
      </c>
      <c r="F216" s="21" t="str">
        <f ca="1">IFERROR(__xludf.DUMMYFUNCTION("""COMPUTED_VALUE"""),"চর রাজিবপুর")</f>
        <v>চর রাজিবপুর</v>
      </c>
      <c r="G216" s="21"/>
      <c r="H216" s="21"/>
      <c r="I216" s="21"/>
      <c r="J216" s="21" t="str">
        <f ca="1">IFERROR(__xludf.DUMMYFUNCTION("""COMPUTED_VALUE"""),"প্রণোদনা")</f>
        <v>প্রণোদনা</v>
      </c>
      <c r="K216" s="21"/>
      <c r="L216" s="21">
        <f ca="1">IFERROR(__xludf.DUMMYFUNCTION("""COMPUTED_VALUE"""),25.46319)</f>
        <v>25.463190000000001</v>
      </c>
      <c r="M216" s="21">
        <f ca="1">IFERROR(__xludf.DUMMYFUNCTION("""COMPUTED_VALUE"""),89.77541)</f>
        <v>89.775409999999994</v>
      </c>
      <c r="N216" s="21"/>
      <c r="O21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6" s="21" t="str">
        <f ca="1">IFERROR(__xludf.DUMMYFUNCTION("""COMPUTED_VALUE"""),"ফলদ, বনজ")</f>
        <v>ফলদ, বনজ</v>
      </c>
      <c r="Q216" s="21">
        <f ca="1">IFERROR(__xludf.DUMMYFUNCTION("""COMPUTED_VALUE"""),5)</f>
        <v>5</v>
      </c>
      <c r="R216" s="21"/>
      <c r="S216" s="21"/>
      <c r="T216" s="21"/>
      <c r="U216" s="21" t="str">
        <f ca="1">IFERROR(__xludf.DUMMYFUNCTION("""COMPUTED_VALUE"""),"মোঃ ফুল মিয়া")</f>
        <v>মোঃ ফুল মিয়া</v>
      </c>
      <c r="V216" s="21" t="str">
        <f ca="1">IFERROR(__xludf.DUMMYFUNCTION("""COMPUTED_VALUE"""),"০১৮০৬০৪৮৯৯৯")</f>
        <v>০১৮০৬০৪৮৯৯৯</v>
      </c>
      <c r="W216" s="21" t="str">
        <f ca="1">IFERROR(__xludf.DUMMYFUNCTION("""COMPUTED_VALUE"""),"মোঃ শফিকুল ইসলাম
")</f>
        <v xml:space="preserve">মোঃ শফিকুল ইসলাম
</v>
      </c>
      <c r="X216" s="21" t="str">
        <f ca="1">IFERROR(__xludf.DUMMYFUNCTION("""COMPUTED_VALUE"""),"০১৯২৪৬৯২০৭৫")</f>
        <v>০১৯২৪৬৯২০৭৫</v>
      </c>
      <c r="Y216" s="21"/>
      <c r="Z216" s="21"/>
      <c r="AA216" s="21"/>
      <c r="AB216" s="21"/>
      <c r="AC216" s="21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 spans="1:40" ht="15" customHeight="1" x14ac:dyDescent="0.15">
      <c r="A217" s="25"/>
      <c r="B217" s="25"/>
      <c r="C217" s="25" t="str">
        <f ca="1">IFERROR(__xludf.DUMMYFUNCTION("""COMPUTED_VALUE"""),"রংপুর")</f>
        <v>রংপুর</v>
      </c>
      <c r="D217" s="25" t="str">
        <f ca="1">IFERROR(__xludf.DUMMYFUNCTION("""COMPUTED_VALUE"""),"রংপুর")</f>
        <v>রংপুর</v>
      </c>
      <c r="E217" s="25" t="str">
        <f ca="1">IFERROR(__xludf.DUMMYFUNCTION("""COMPUTED_VALUE"""),"কুড়িগ্রাম")</f>
        <v>কুড়িগ্রাম</v>
      </c>
      <c r="F217" s="25" t="str">
        <f ca="1">IFERROR(__xludf.DUMMYFUNCTION("""COMPUTED_VALUE"""),"চর রাজিবপুর")</f>
        <v>চর রাজিবপুর</v>
      </c>
      <c r="G217" s="25"/>
      <c r="H217" s="25"/>
      <c r="I217" s="25"/>
      <c r="J217" s="25" t="str">
        <f ca="1">IFERROR(__xludf.DUMMYFUNCTION("""COMPUTED_VALUE"""),"প্রণোদনা")</f>
        <v>প্রণোদনা</v>
      </c>
      <c r="K217" s="25"/>
      <c r="L217" s="25">
        <f ca="1">IFERROR(__xludf.DUMMYFUNCTION("""COMPUTED_VALUE"""),25.46288)</f>
        <v>25.462879999999998</v>
      </c>
      <c r="M217" s="25">
        <f ca="1">IFERROR(__xludf.DUMMYFUNCTION("""COMPUTED_VALUE"""),89.77583)</f>
        <v>89.775829999999999</v>
      </c>
      <c r="N217" s="25"/>
      <c r="O21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7" s="25" t="str">
        <f ca="1">IFERROR(__xludf.DUMMYFUNCTION("""COMPUTED_VALUE"""),"ফলদ, বনজ")</f>
        <v>ফলদ, বনজ</v>
      </c>
      <c r="Q217" s="25">
        <f ca="1">IFERROR(__xludf.DUMMYFUNCTION("""COMPUTED_VALUE"""),5)</f>
        <v>5</v>
      </c>
      <c r="R217" s="25"/>
      <c r="S217" s="25"/>
      <c r="T217" s="25"/>
      <c r="U217" s="25" t="str">
        <f ca="1">IFERROR(__xludf.DUMMYFUNCTION("""COMPUTED_VALUE"""),"মোঃ এমদাদুল হক")</f>
        <v>মোঃ এমদাদুল হক</v>
      </c>
      <c r="V217" s="25" t="str">
        <f ca="1">IFERROR(__xludf.DUMMYFUNCTION("""COMPUTED_VALUE"""),"০১৬৪১৩৫৬৭৮৬")</f>
        <v>০১৬৪১৩৫৬৭৮৬</v>
      </c>
      <c r="W217" s="25" t="str">
        <f ca="1">IFERROR(__xludf.DUMMYFUNCTION("""COMPUTED_VALUE"""),"মোঃ শফিকুল ইসলাম
")</f>
        <v xml:space="preserve">মোঃ শফিকুল ইসলাম
</v>
      </c>
      <c r="X217" s="25" t="str">
        <f ca="1">IFERROR(__xludf.DUMMYFUNCTION("""COMPUTED_VALUE"""),"০১৯২৪৬৯২০৭৫")</f>
        <v>০১৯২৪৬৯২০৭৫</v>
      </c>
      <c r="Y217" s="25"/>
      <c r="Z217" s="25"/>
      <c r="AA217" s="25"/>
      <c r="AB217" s="25"/>
      <c r="AC217" s="25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spans="1:40" ht="15" customHeight="1" x14ac:dyDescent="0.15">
      <c r="A218" s="21"/>
      <c r="B218" s="21"/>
      <c r="C218" s="21" t="str">
        <f ca="1">IFERROR(__xludf.DUMMYFUNCTION("""COMPUTED_VALUE"""),"রংপুর")</f>
        <v>রংপুর</v>
      </c>
      <c r="D218" s="21" t="str">
        <f ca="1">IFERROR(__xludf.DUMMYFUNCTION("""COMPUTED_VALUE"""),"রংপুর")</f>
        <v>রংপুর</v>
      </c>
      <c r="E218" s="21" t="str">
        <f ca="1">IFERROR(__xludf.DUMMYFUNCTION("""COMPUTED_VALUE"""),"কুড়িগ্রাম")</f>
        <v>কুড়িগ্রাম</v>
      </c>
      <c r="F218" s="21" t="str">
        <f ca="1">IFERROR(__xludf.DUMMYFUNCTION("""COMPUTED_VALUE"""),"চর রাজিবপুর")</f>
        <v>চর রাজিবপুর</v>
      </c>
      <c r="G218" s="21"/>
      <c r="H218" s="21"/>
      <c r="I218" s="21"/>
      <c r="J218" s="21" t="str">
        <f ca="1">IFERROR(__xludf.DUMMYFUNCTION("""COMPUTED_VALUE"""),"প্রণোদনা")</f>
        <v>প্রণোদনা</v>
      </c>
      <c r="K218" s="21"/>
      <c r="L218" s="21">
        <f ca="1">IFERROR(__xludf.DUMMYFUNCTION("""COMPUTED_VALUE"""),25.46053)</f>
        <v>25.460529999999999</v>
      </c>
      <c r="M218" s="21">
        <f ca="1">IFERROR(__xludf.DUMMYFUNCTION("""COMPUTED_VALUE"""),89.77564)</f>
        <v>89.775639999999996</v>
      </c>
      <c r="N218" s="21"/>
      <c r="O21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8" s="21" t="str">
        <f ca="1">IFERROR(__xludf.DUMMYFUNCTION("""COMPUTED_VALUE"""),"ফলদ, বনজ")</f>
        <v>ফলদ, বনজ</v>
      </c>
      <c r="Q218" s="21">
        <f ca="1">IFERROR(__xludf.DUMMYFUNCTION("""COMPUTED_VALUE"""),5)</f>
        <v>5</v>
      </c>
      <c r="R218" s="21"/>
      <c r="S218" s="21"/>
      <c r="T218" s="21"/>
      <c r="U218" s="21" t="str">
        <f ca="1">IFERROR(__xludf.DUMMYFUNCTION("""COMPUTED_VALUE"""),"মোঃ হানিফ আলী")</f>
        <v>মোঃ হানিফ আলী</v>
      </c>
      <c r="V218" s="21" t="str">
        <f ca="1">IFERROR(__xludf.DUMMYFUNCTION("""COMPUTED_VALUE"""),"০১৮৫৮৮৮১৮৬৭")</f>
        <v>০১৮৫৮৮৮১৮৬৭</v>
      </c>
      <c r="W218" s="21" t="str">
        <f ca="1">IFERROR(__xludf.DUMMYFUNCTION("""COMPUTED_VALUE"""),"মোঃ শফিকুল ইসলাম
")</f>
        <v xml:space="preserve">মোঃ শফিকুল ইসলাম
</v>
      </c>
      <c r="X218" s="21" t="str">
        <f ca="1">IFERROR(__xludf.DUMMYFUNCTION("""COMPUTED_VALUE"""),"০১৯২৪৬৯২০৭৫")</f>
        <v>০১৯২৪৬৯২০৭৫</v>
      </c>
      <c r="Y218" s="21"/>
      <c r="Z218" s="21"/>
      <c r="AA218" s="21"/>
      <c r="AB218" s="21"/>
      <c r="AC218" s="21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 spans="1:40" ht="15" customHeight="1" x14ac:dyDescent="0.15">
      <c r="A219" s="25"/>
      <c r="B219" s="25"/>
      <c r="C219" s="25" t="str">
        <f ca="1">IFERROR(__xludf.DUMMYFUNCTION("""COMPUTED_VALUE"""),"রংপুর")</f>
        <v>রংপুর</v>
      </c>
      <c r="D219" s="25" t="str">
        <f ca="1">IFERROR(__xludf.DUMMYFUNCTION("""COMPUTED_VALUE"""),"রংপুর")</f>
        <v>রংপুর</v>
      </c>
      <c r="E219" s="25" t="str">
        <f ca="1">IFERROR(__xludf.DUMMYFUNCTION("""COMPUTED_VALUE"""),"কুড়িগ্রাম")</f>
        <v>কুড়িগ্রাম</v>
      </c>
      <c r="F219" s="25" t="str">
        <f ca="1">IFERROR(__xludf.DUMMYFUNCTION("""COMPUTED_VALUE"""),"চর রাজিবপুর")</f>
        <v>চর রাজিবপুর</v>
      </c>
      <c r="G219" s="25"/>
      <c r="H219" s="25"/>
      <c r="I219" s="25"/>
      <c r="J219" s="25" t="str">
        <f ca="1">IFERROR(__xludf.DUMMYFUNCTION("""COMPUTED_VALUE"""),"প্রণোদনা")</f>
        <v>প্রণোদনা</v>
      </c>
      <c r="K219" s="25"/>
      <c r="L219" s="25">
        <f ca="1">IFERROR(__xludf.DUMMYFUNCTION("""COMPUTED_VALUE"""),25.46114)</f>
        <v>25.46114</v>
      </c>
      <c r="M219" s="25">
        <f ca="1">IFERROR(__xludf.DUMMYFUNCTION("""COMPUTED_VALUE"""),89.77571)</f>
        <v>89.775710000000004</v>
      </c>
      <c r="N219" s="25"/>
      <c r="O21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9" s="25" t="str">
        <f ca="1">IFERROR(__xludf.DUMMYFUNCTION("""COMPUTED_VALUE"""),"ফলদ, বনজ")</f>
        <v>ফলদ, বনজ</v>
      </c>
      <c r="Q219" s="25">
        <f ca="1">IFERROR(__xludf.DUMMYFUNCTION("""COMPUTED_VALUE"""),5)</f>
        <v>5</v>
      </c>
      <c r="R219" s="25"/>
      <c r="S219" s="25"/>
      <c r="T219" s="25"/>
      <c r="U219" s="25" t="str">
        <f ca="1">IFERROR(__xludf.DUMMYFUNCTION("""COMPUTED_VALUE"""),"মোঃ হাবিবুর রহমান")</f>
        <v>মোঃ হাবিবুর রহমান</v>
      </c>
      <c r="V219" s="25" t="str">
        <f ca="1">IFERROR(__xludf.DUMMYFUNCTION("""COMPUTED_VALUE"""),"০১৮২৩২৯৮৮৩২")</f>
        <v>০১৮২৩২৯৮৮৩২</v>
      </c>
      <c r="W219" s="25" t="str">
        <f ca="1">IFERROR(__xludf.DUMMYFUNCTION("""COMPUTED_VALUE"""),"মোঃ শফিকুল ইসলাম
")</f>
        <v xml:space="preserve">মোঃ শফিকুল ইসলাম
</v>
      </c>
      <c r="X219" s="25" t="str">
        <f ca="1">IFERROR(__xludf.DUMMYFUNCTION("""COMPUTED_VALUE"""),"০১৯২৪৬৯২০৭৫")</f>
        <v>০১৯২৪৬৯২০৭৫</v>
      </c>
      <c r="Y219" s="25"/>
      <c r="Z219" s="25"/>
      <c r="AA219" s="25"/>
      <c r="AB219" s="25"/>
      <c r="AC219" s="25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spans="1:40" ht="15" customHeight="1" x14ac:dyDescent="0.15">
      <c r="A220" s="21"/>
      <c r="B220" s="21"/>
      <c r="C220" s="21" t="str">
        <f ca="1">IFERROR(__xludf.DUMMYFUNCTION("""COMPUTED_VALUE"""),"রংপুর")</f>
        <v>রংপুর</v>
      </c>
      <c r="D220" s="21" t="str">
        <f ca="1">IFERROR(__xludf.DUMMYFUNCTION("""COMPUTED_VALUE"""),"রংপুর")</f>
        <v>রংপুর</v>
      </c>
      <c r="E220" s="21" t="str">
        <f ca="1">IFERROR(__xludf.DUMMYFUNCTION("""COMPUTED_VALUE"""),"কুড়িগ্রাম")</f>
        <v>কুড়িগ্রাম</v>
      </c>
      <c r="F220" s="21" t="str">
        <f ca="1">IFERROR(__xludf.DUMMYFUNCTION("""COMPUTED_VALUE"""),"চর রাজিবপুর")</f>
        <v>চর রাজিবপুর</v>
      </c>
      <c r="G220" s="21"/>
      <c r="H220" s="21"/>
      <c r="I220" s="21"/>
      <c r="J220" s="21" t="str">
        <f ca="1">IFERROR(__xludf.DUMMYFUNCTION("""COMPUTED_VALUE"""),"প্রণোদনা")</f>
        <v>প্রণোদনা</v>
      </c>
      <c r="K220" s="21"/>
      <c r="L220" s="21">
        <f ca="1">IFERROR(__xludf.DUMMYFUNCTION("""COMPUTED_VALUE"""),25.45605)</f>
        <v>25.456050000000001</v>
      </c>
      <c r="M220" s="21">
        <f ca="1">IFERROR(__xludf.DUMMYFUNCTION("""COMPUTED_VALUE"""),89.7765)</f>
        <v>89.776499999999999</v>
      </c>
      <c r="N220" s="21"/>
      <c r="O22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0" s="21" t="str">
        <f ca="1">IFERROR(__xludf.DUMMYFUNCTION("""COMPUTED_VALUE"""),"ফলদ, বনজ")</f>
        <v>ফলদ, বনজ</v>
      </c>
      <c r="Q220" s="21">
        <f ca="1">IFERROR(__xludf.DUMMYFUNCTION("""COMPUTED_VALUE"""),5)</f>
        <v>5</v>
      </c>
      <c r="R220" s="21"/>
      <c r="S220" s="21"/>
      <c r="T220" s="21"/>
      <c r="U220" s="21" t="str">
        <f ca="1">IFERROR(__xludf.DUMMYFUNCTION("""COMPUTED_VALUE"""),"মোঃ আবুল হোসেন")</f>
        <v>মোঃ আবুল হোসেন</v>
      </c>
      <c r="V220" s="21" t="str">
        <f ca="1">IFERROR(__xludf.DUMMYFUNCTION("""COMPUTED_VALUE"""),"০১৬০৯২২১৭৩০")</f>
        <v>০১৬০৯২২১৭৩০</v>
      </c>
      <c r="W220" s="21" t="str">
        <f ca="1">IFERROR(__xludf.DUMMYFUNCTION("""COMPUTED_VALUE"""),"মোঃ শফিকুল ইসলাম
")</f>
        <v xml:space="preserve">মোঃ শফিকুল ইসলাম
</v>
      </c>
      <c r="X220" s="21" t="str">
        <f ca="1">IFERROR(__xludf.DUMMYFUNCTION("""COMPUTED_VALUE"""),"০১৯২৪৬৯২০৭৫")</f>
        <v>০১৯২৪৬৯২০৭৫</v>
      </c>
      <c r="Y220" s="21"/>
      <c r="Z220" s="21"/>
      <c r="AA220" s="21"/>
      <c r="AB220" s="21"/>
      <c r="AC220" s="21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 spans="1:40" ht="15" customHeight="1" x14ac:dyDescent="0.15">
      <c r="A221" s="25"/>
      <c r="B221" s="25"/>
      <c r="C221" s="25" t="str">
        <f ca="1">IFERROR(__xludf.DUMMYFUNCTION("""COMPUTED_VALUE"""),"রংপুর")</f>
        <v>রংপুর</v>
      </c>
      <c r="D221" s="25" t="str">
        <f ca="1">IFERROR(__xludf.DUMMYFUNCTION("""COMPUTED_VALUE"""),"রংপুর")</f>
        <v>রংপুর</v>
      </c>
      <c r="E221" s="25" t="str">
        <f ca="1">IFERROR(__xludf.DUMMYFUNCTION("""COMPUTED_VALUE"""),"কুড়িগ্রাম")</f>
        <v>কুড়িগ্রাম</v>
      </c>
      <c r="F221" s="25" t="str">
        <f ca="1">IFERROR(__xludf.DUMMYFUNCTION("""COMPUTED_VALUE"""),"চর রাজিবপুর")</f>
        <v>চর রাজিবপুর</v>
      </c>
      <c r="G221" s="25"/>
      <c r="H221" s="25"/>
      <c r="I221" s="25"/>
      <c r="J221" s="25" t="str">
        <f ca="1">IFERROR(__xludf.DUMMYFUNCTION("""COMPUTED_VALUE"""),"প্রণোদনা")</f>
        <v>প্রণোদনা</v>
      </c>
      <c r="K221" s="25"/>
      <c r="L221" s="25">
        <f ca="1">IFERROR(__xludf.DUMMYFUNCTION("""COMPUTED_VALUE"""),25.46129)</f>
        <v>25.461290000000002</v>
      </c>
      <c r="M221" s="25">
        <f ca="1">IFERROR(__xludf.DUMMYFUNCTION("""COMPUTED_VALUE"""),89.77545)</f>
        <v>89.775450000000006</v>
      </c>
      <c r="N221" s="25"/>
      <c r="O22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1" s="25" t="str">
        <f ca="1">IFERROR(__xludf.DUMMYFUNCTION("""COMPUTED_VALUE"""),"ফলদ, বনজ")</f>
        <v>ফলদ, বনজ</v>
      </c>
      <c r="Q221" s="25">
        <f ca="1">IFERROR(__xludf.DUMMYFUNCTION("""COMPUTED_VALUE"""),5)</f>
        <v>5</v>
      </c>
      <c r="R221" s="25"/>
      <c r="S221" s="25"/>
      <c r="T221" s="25"/>
      <c r="U221" s="25" t="str">
        <f ca="1">IFERROR(__xludf.DUMMYFUNCTION("""COMPUTED_VALUE"""),"মোঃ আশরাফ আলী")</f>
        <v>মোঃ আশরাফ আলী</v>
      </c>
      <c r="V221" s="25" t="str">
        <f ca="1">IFERROR(__xludf.DUMMYFUNCTION("""COMPUTED_VALUE"""),"০১৬১১৩৬৫১৫৫")</f>
        <v>০১৬১১৩৬৫১৫৫</v>
      </c>
      <c r="W221" s="25" t="str">
        <f ca="1">IFERROR(__xludf.DUMMYFUNCTION("""COMPUTED_VALUE"""),"মোঃ শফিকুল ইসলাম
")</f>
        <v xml:space="preserve">মোঃ শফিকুল ইসলাম
</v>
      </c>
      <c r="X221" s="25" t="str">
        <f ca="1">IFERROR(__xludf.DUMMYFUNCTION("""COMPUTED_VALUE"""),"০১৯২৪৬৯২০৭৫")</f>
        <v>০১৯২৪৬৯২০৭৫</v>
      </c>
      <c r="Y221" s="25"/>
      <c r="Z221" s="25"/>
      <c r="AA221" s="25"/>
      <c r="AB221" s="25"/>
      <c r="AC221" s="25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spans="1:40" ht="15" customHeight="1" x14ac:dyDescent="0.15">
      <c r="A222" s="21"/>
      <c r="B222" s="21"/>
      <c r="C222" s="21" t="str">
        <f ca="1">IFERROR(__xludf.DUMMYFUNCTION("""COMPUTED_VALUE"""),"রংপুর")</f>
        <v>রংপুর</v>
      </c>
      <c r="D222" s="21" t="str">
        <f ca="1">IFERROR(__xludf.DUMMYFUNCTION("""COMPUTED_VALUE"""),"রংপুর")</f>
        <v>রংপুর</v>
      </c>
      <c r="E222" s="21" t="str">
        <f ca="1">IFERROR(__xludf.DUMMYFUNCTION("""COMPUTED_VALUE"""),"কুড়িগ্রাম")</f>
        <v>কুড়িগ্রাম</v>
      </c>
      <c r="F222" s="21" t="str">
        <f ca="1">IFERROR(__xludf.DUMMYFUNCTION("""COMPUTED_VALUE"""),"চর রাজিবপুর")</f>
        <v>চর রাজিবপুর</v>
      </c>
      <c r="G222" s="21"/>
      <c r="H222" s="21"/>
      <c r="I222" s="21"/>
      <c r="J222" s="21" t="str">
        <f ca="1">IFERROR(__xludf.DUMMYFUNCTION("""COMPUTED_VALUE"""),"প্রণোদনা")</f>
        <v>প্রণোদনা</v>
      </c>
      <c r="K222" s="21"/>
      <c r="L222" s="21">
        <f ca="1">IFERROR(__xludf.DUMMYFUNCTION("""COMPUTED_VALUE"""),25.47209)</f>
        <v>25.472090000000001</v>
      </c>
      <c r="M222" s="21">
        <f ca="1">IFERROR(__xludf.DUMMYFUNCTION("""COMPUTED_VALUE"""),89.77721)</f>
        <v>89.777209999999997</v>
      </c>
      <c r="N222" s="21"/>
      <c r="O22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2" s="21" t="str">
        <f ca="1">IFERROR(__xludf.DUMMYFUNCTION("""COMPUTED_VALUE"""),"ফলদ, বনজ")</f>
        <v>ফলদ, বনজ</v>
      </c>
      <c r="Q222" s="21">
        <f ca="1">IFERROR(__xludf.DUMMYFUNCTION("""COMPUTED_VALUE"""),5)</f>
        <v>5</v>
      </c>
      <c r="R222" s="21"/>
      <c r="S222" s="21"/>
      <c r="T222" s="21"/>
      <c r="U222" s="21" t="str">
        <f ca="1">IFERROR(__xludf.DUMMYFUNCTION("""COMPUTED_VALUE"""),"মোঃ সাইফুল ইসলাম")</f>
        <v>মোঃ সাইফুল ইসলাম</v>
      </c>
      <c r="V222" s="21" t="str">
        <f ca="1">IFERROR(__xludf.DUMMYFUNCTION("""COMPUTED_VALUE"""),"০১৯৬৯৫৯৬০৪৬")</f>
        <v>০১৯৬৯৫৯৬০৪৬</v>
      </c>
      <c r="W222" s="21" t="str">
        <f ca="1">IFERROR(__xludf.DUMMYFUNCTION("""COMPUTED_VALUE"""),"মোঃ শফিকুল ইসলাম
")</f>
        <v xml:space="preserve">মোঃ শফিকুল ইসলাম
</v>
      </c>
      <c r="X222" s="21" t="str">
        <f ca="1">IFERROR(__xludf.DUMMYFUNCTION("""COMPUTED_VALUE"""),"০১৯২৪৬৯২০৭৫")</f>
        <v>০১৯২৪৬৯২০৭৫</v>
      </c>
      <c r="Y222" s="21"/>
      <c r="Z222" s="21"/>
      <c r="AA222" s="21"/>
      <c r="AB222" s="21"/>
      <c r="AC222" s="21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 spans="1:40" ht="15" customHeight="1" x14ac:dyDescent="0.15">
      <c r="A223" s="25"/>
      <c r="B223" s="25"/>
      <c r="C223" s="25" t="str">
        <f ca="1">IFERROR(__xludf.DUMMYFUNCTION("""COMPUTED_VALUE"""),"রংপুর")</f>
        <v>রংপুর</v>
      </c>
      <c r="D223" s="25" t="str">
        <f ca="1">IFERROR(__xludf.DUMMYFUNCTION("""COMPUTED_VALUE"""),"রংপুর")</f>
        <v>রংপুর</v>
      </c>
      <c r="E223" s="25" t="str">
        <f ca="1">IFERROR(__xludf.DUMMYFUNCTION("""COMPUTED_VALUE"""),"কুড়িগ্রাম")</f>
        <v>কুড়িগ্রাম</v>
      </c>
      <c r="F223" s="25" t="str">
        <f ca="1">IFERROR(__xludf.DUMMYFUNCTION("""COMPUTED_VALUE"""),"চর রাজিবপুর")</f>
        <v>চর রাজিবপুর</v>
      </c>
      <c r="G223" s="25"/>
      <c r="H223" s="25"/>
      <c r="I223" s="25"/>
      <c r="J223" s="25" t="str">
        <f ca="1">IFERROR(__xludf.DUMMYFUNCTION("""COMPUTED_VALUE"""),"প্রণোদনা")</f>
        <v>প্রণোদনা</v>
      </c>
      <c r="K223" s="25"/>
      <c r="L223" s="25">
        <f ca="1">IFERROR(__xludf.DUMMYFUNCTION("""COMPUTED_VALUE"""),25.45789)</f>
        <v>25.457889999999999</v>
      </c>
      <c r="M223" s="25">
        <f ca="1">IFERROR(__xludf.DUMMYFUNCTION("""COMPUTED_VALUE"""),89.76852)</f>
        <v>89.768519999999995</v>
      </c>
      <c r="N223" s="25"/>
      <c r="O22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3" s="25" t="str">
        <f ca="1">IFERROR(__xludf.DUMMYFUNCTION("""COMPUTED_VALUE"""),"ফলদ, বনজ")</f>
        <v>ফলদ, বনজ</v>
      </c>
      <c r="Q223" s="25">
        <f ca="1">IFERROR(__xludf.DUMMYFUNCTION("""COMPUTED_VALUE"""),5)</f>
        <v>5</v>
      </c>
      <c r="R223" s="25"/>
      <c r="S223" s="25"/>
      <c r="T223" s="25"/>
      <c r="U223" s="25" t="str">
        <f ca="1">IFERROR(__xludf.DUMMYFUNCTION("""COMPUTED_VALUE"""),"মোঃ ইকবাল হোসেন")</f>
        <v>মোঃ ইকবাল হোসেন</v>
      </c>
      <c r="V223" s="25" t="str">
        <f ca="1">IFERROR(__xludf.DUMMYFUNCTION("""COMPUTED_VALUE"""),"০১৯৫৯৫৮৮৫৫৭")</f>
        <v>০১৯৫৯৫৮৮৫৫৭</v>
      </c>
      <c r="W223" s="25" t="str">
        <f ca="1">IFERROR(__xludf.DUMMYFUNCTION("""COMPUTED_VALUE"""),"মোঃ শফিকুল ইসলাম
")</f>
        <v xml:space="preserve">মোঃ শফিকুল ইসলাম
</v>
      </c>
      <c r="X223" s="25" t="str">
        <f ca="1">IFERROR(__xludf.DUMMYFUNCTION("""COMPUTED_VALUE"""),"০১৯২৪৬৯২০৭৫")</f>
        <v>০১৯২৪৬৯২০৭৫</v>
      </c>
      <c r="Y223" s="25"/>
      <c r="Z223" s="25"/>
      <c r="AA223" s="25"/>
      <c r="AB223" s="25"/>
      <c r="AC223" s="25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spans="1:40" ht="15" customHeight="1" x14ac:dyDescent="0.15">
      <c r="A224" s="21"/>
      <c r="B224" s="21"/>
      <c r="C224" s="21" t="str">
        <f ca="1">IFERROR(__xludf.DUMMYFUNCTION("""COMPUTED_VALUE"""),"রংপুর")</f>
        <v>রংপুর</v>
      </c>
      <c r="D224" s="21" t="str">
        <f ca="1">IFERROR(__xludf.DUMMYFUNCTION("""COMPUTED_VALUE"""),"রংপুর")</f>
        <v>রংপুর</v>
      </c>
      <c r="E224" s="21" t="str">
        <f ca="1">IFERROR(__xludf.DUMMYFUNCTION("""COMPUTED_VALUE"""),"কুড়িগ্রাম")</f>
        <v>কুড়িগ্রাম</v>
      </c>
      <c r="F224" s="21" t="str">
        <f ca="1">IFERROR(__xludf.DUMMYFUNCTION("""COMPUTED_VALUE"""),"চর রাজিবপুর")</f>
        <v>চর রাজিবপুর</v>
      </c>
      <c r="G224" s="21"/>
      <c r="H224" s="21"/>
      <c r="I224" s="21"/>
      <c r="J224" s="21" t="str">
        <f ca="1">IFERROR(__xludf.DUMMYFUNCTION("""COMPUTED_VALUE"""),"প্রণোদনা")</f>
        <v>প্রণোদনা</v>
      </c>
      <c r="K224" s="21"/>
      <c r="L224" s="21">
        <f ca="1">IFERROR(__xludf.DUMMYFUNCTION("""COMPUTED_VALUE"""),25.45807)</f>
        <v>25.458069999999999</v>
      </c>
      <c r="M224" s="21">
        <f ca="1">IFERROR(__xludf.DUMMYFUNCTION("""COMPUTED_VALUE"""),89.767)</f>
        <v>89.766999999999996</v>
      </c>
      <c r="N224" s="21"/>
      <c r="O22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4" s="21" t="str">
        <f ca="1">IFERROR(__xludf.DUMMYFUNCTION("""COMPUTED_VALUE"""),"ফলদ, বনজ")</f>
        <v>ফলদ, বনজ</v>
      </c>
      <c r="Q224" s="21">
        <f ca="1">IFERROR(__xludf.DUMMYFUNCTION("""COMPUTED_VALUE"""),5)</f>
        <v>5</v>
      </c>
      <c r="R224" s="21"/>
      <c r="S224" s="21"/>
      <c r="T224" s="21"/>
      <c r="U224" s="21" t="str">
        <f ca="1">IFERROR(__xludf.DUMMYFUNCTION("""COMPUTED_VALUE"""),"মোঃ শুক্কুর আলী")</f>
        <v>মোঃ শুক্কুর আলী</v>
      </c>
      <c r="V224" s="21" t="str">
        <f ca="1">IFERROR(__xludf.DUMMYFUNCTION("""COMPUTED_VALUE"""),"০১৯১৮৭৫৩২২০")</f>
        <v>০১৯১৮৭৫৩২২০</v>
      </c>
      <c r="W224" s="21" t="str">
        <f ca="1">IFERROR(__xludf.DUMMYFUNCTION("""COMPUTED_VALUE"""),"মোঃ শফিকুল ইসলাম
")</f>
        <v xml:space="preserve">মোঃ শফিকুল ইসলাম
</v>
      </c>
      <c r="X224" s="21" t="str">
        <f ca="1">IFERROR(__xludf.DUMMYFUNCTION("""COMPUTED_VALUE"""),"০১৯২৪৬৯২০৭৫")</f>
        <v>০১৯২৪৬৯২০৭৫</v>
      </c>
      <c r="Y224" s="21"/>
      <c r="Z224" s="21"/>
      <c r="AA224" s="21"/>
      <c r="AB224" s="21"/>
      <c r="AC224" s="21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spans="1:40" ht="15" customHeight="1" x14ac:dyDescent="0.15">
      <c r="A225" s="25"/>
      <c r="B225" s="25"/>
      <c r="C225" s="25" t="str">
        <f ca="1">IFERROR(__xludf.DUMMYFUNCTION("""COMPUTED_VALUE"""),"রংপুর")</f>
        <v>রংপুর</v>
      </c>
      <c r="D225" s="25" t="str">
        <f ca="1">IFERROR(__xludf.DUMMYFUNCTION("""COMPUTED_VALUE"""),"রংপুর")</f>
        <v>রংপুর</v>
      </c>
      <c r="E225" s="25" t="str">
        <f ca="1">IFERROR(__xludf.DUMMYFUNCTION("""COMPUTED_VALUE"""),"কুড়িগ্রাম")</f>
        <v>কুড়িগ্রাম</v>
      </c>
      <c r="F225" s="25" t="str">
        <f ca="1">IFERROR(__xludf.DUMMYFUNCTION("""COMPUTED_VALUE"""),"চর রাজিবপুর")</f>
        <v>চর রাজিবপুর</v>
      </c>
      <c r="G225" s="25"/>
      <c r="H225" s="25"/>
      <c r="I225" s="25"/>
      <c r="J225" s="25" t="str">
        <f ca="1">IFERROR(__xludf.DUMMYFUNCTION("""COMPUTED_VALUE"""),"প্রণোদনা")</f>
        <v>প্রণোদনা</v>
      </c>
      <c r="K225" s="25"/>
      <c r="L225" s="25">
        <f ca="1">IFERROR(__xludf.DUMMYFUNCTION("""COMPUTED_VALUE"""),25.45833)</f>
        <v>25.45833</v>
      </c>
      <c r="M225" s="25">
        <f ca="1">IFERROR(__xludf.DUMMYFUNCTION("""COMPUTED_VALUE"""),89.7761)</f>
        <v>89.7761</v>
      </c>
      <c r="N225" s="25"/>
      <c r="O22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5" s="25" t="str">
        <f ca="1">IFERROR(__xludf.DUMMYFUNCTION("""COMPUTED_VALUE"""),"ফলদ, বনজ")</f>
        <v>ফলদ, বনজ</v>
      </c>
      <c r="Q225" s="25">
        <f ca="1">IFERROR(__xludf.DUMMYFUNCTION("""COMPUTED_VALUE"""),5)</f>
        <v>5</v>
      </c>
      <c r="R225" s="25"/>
      <c r="S225" s="25"/>
      <c r="T225" s="25"/>
      <c r="U225" s="25" t="str">
        <f ca="1">IFERROR(__xludf.DUMMYFUNCTION("""COMPUTED_VALUE"""),"মোঃ জয়েন উদ্দিন")</f>
        <v>মোঃ জয়েন উদ্দিন</v>
      </c>
      <c r="V225" s="25" t="str">
        <f ca="1">IFERROR(__xludf.DUMMYFUNCTION("""COMPUTED_VALUE"""),"০১৯৩১৮২৬৬৬৪")</f>
        <v>০১৯৩১৮২৬৬৬৪</v>
      </c>
      <c r="W225" s="25" t="str">
        <f ca="1">IFERROR(__xludf.DUMMYFUNCTION("""COMPUTED_VALUE"""),"মোঃ শফিকুল ইসলাম
")</f>
        <v xml:space="preserve">মোঃ শফিকুল ইসলাম
</v>
      </c>
      <c r="X225" s="25" t="str">
        <f ca="1">IFERROR(__xludf.DUMMYFUNCTION("""COMPUTED_VALUE"""),"০১৯২৪৬৯২০৭৫")</f>
        <v>০১৯২৪৬৯২০৭৫</v>
      </c>
      <c r="Y225" s="25"/>
      <c r="Z225" s="25"/>
      <c r="AA225" s="25"/>
      <c r="AB225" s="25"/>
      <c r="AC225" s="25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spans="1:40" ht="15" customHeight="1" x14ac:dyDescent="0.15">
      <c r="A226" s="21"/>
      <c r="B226" s="21"/>
      <c r="C226" s="21" t="str">
        <f ca="1">IFERROR(__xludf.DUMMYFUNCTION("""COMPUTED_VALUE"""),"রংপুর")</f>
        <v>রংপুর</v>
      </c>
      <c r="D226" s="21" t="str">
        <f ca="1">IFERROR(__xludf.DUMMYFUNCTION("""COMPUTED_VALUE"""),"রংপুর")</f>
        <v>রংপুর</v>
      </c>
      <c r="E226" s="21" t="str">
        <f ca="1">IFERROR(__xludf.DUMMYFUNCTION("""COMPUTED_VALUE"""),"কুড়িগ্রাম")</f>
        <v>কুড়িগ্রাম</v>
      </c>
      <c r="F226" s="21" t="str">
        <f ca="1">IFERROR(__xludf.DUMMYFUNCTION("""COMPUTED_VALUE"""),"চর রাজিবপুর")</f>
        <v>চর রাজিবপুর</v>
      </c>
      <c r="G226" s="21"/>
      <c r="H226" s="21"/>
      <c r="I226" s="21"/>
      <c r="J226" s="21" t="str">
        <f ca="1">IFERROR(__xludf.DUMMYFUNCTION("""COMPUTED_VALUE"""),"প্রণোদনা")</f>
        <v>প্রণোদনা</v>
      </c>
      <c r="K226" s="21"/>
      <c r="L226" s="21">
        <f ca="1">IFERROR(__xludf.DUMMYFUNCTION("""COMPUTED_VALUE"""),25.45583)</f>
        <v>25.455829999999999</v>
      </c>
      <c r="M226" s="21">
        <f ca="1">IFERROR(__xludf.DUMMYFUNCTION("""COMPUTED_VALUE"""),89.76702)</f>
        <v>89.767020000000002</v>
      </c>
      <c r="N226" s="21"/>
      <c r="O22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6" s="21" t="str">
        <f ca="1">IFERROR(__xludf.DUMMYFUNCTION("""COMPUTED_VALUE"""),"ফলদ, বনজ")</f>
        <v>ফলদ, বনজ</v>
      </c>
      <c r="Q226" s="21">
        <f ca="1">IFERROR(__xludf.DUMMYFUNCTION("""COMPUTED_VALUE"""),5)</f>
        <v>5</v>
      </c>
      <c r="R226" s="21"/>
      <c r="S226" s="21"/>
      <c r="T226" s="21"/>
      <c r="U226" s="21" t="str">
        <f ca="1">IFERROR(__xludf.DUMMYFUNCTION("""COMPUTED_VALUE"""),"মোঃ জোসন আলী")</f>
        <v>মোঃ জোসন আলী</v>
      </c>
      <c r="V226" s="21" t="str">
        <f ca="1">IFERROR(__xludf.DUMMYFUNCTION("""COMPUTED_VALUE"""),"#N/A")</f>
        <v>#N/A</v>
      </c>
      <c r="W226" s="21" t="str">
        <f ca="1">IFERROR(__xludf.DUMMYFUNCTION("""COMPUTED_VALUE"""),"মোঃ শফিকুল ইসলাম
")</f>
        <v xml:space="preserve">মোঃ শফিকুল ইসলাম
</v>
      </c>
      <c r="X226" s="21" t="str">
        <f ca="1">IFERROR(__xludf.DUMMYFUNCTION("""COMPUTED_VALUE"""),"০১৯২৪৬৯২০৭৫")</f>
        <v>০১৯২৪৬৯২০৭৫</v>
      </c>
      <c r="Y226" s="21"/>
      <c r="Z226" s="21"/>
      <c r="AA226" s="21"/>
      <c r="AB226" s="21"/>
      <c r="AC226" s="21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</row>
    <row r="227" spans="1:40" ht="15" customHeight="1" x14ac:dyDescent="0.15">
      <c r="A227" s="25"/>
      <c r="B227" s="25"/>
      <c r="C227" s="25" t="str">
        <f ca="1">IFERROR(__xludf.DUMMYFUNCTION("""COMPUTED_VALUE"""),"রংপুর")</f>
        <v>রংপুর</v>
      </c>
      <c r="D227" s="25" t="str">
        <f ca="1">IFERROR(__xludf.DUMMYFUNCTION("""COMPUTED_VALUE"""),"রংপুর")</f>
        <v>রংপুর</v>
      </c>
      <c r="E227" s="25" t="str">
        <f ca="1">IFERROR(__xludf.DUMMYFUNCTION("""COMPUTED_VALUE"""),"কুড়িগ্রাম")</f>
        <v>কুড়িগ্রাম</v>
      </c>
      <c r="F227" s="25" t="str">
        <f ca="1">IFERROR(__xludf.DUMMYFUNCTION("""COMPUTED_VALUE"""),"চর রাজিবপুর")</f>
        <v>চর রাজিবপুর</v>
      </c>
      <c r="G227" s="25"/>
      <c r="H227" s="25"/>
      <c r="I227" s="25"/>
      <c r="J227" s="25" t="str">
        <f ca="1">IFERROR(__xludf.DUMMYFUNCTION("""COMPUTED_VALUE"""),"প্রণোদনা")</f>
        <v>প্রণোদনা</v>
      </c>
      <c r="K227" s="25"/>
      <c r="L227" s="25">
        <f ca="1">IFERROR(__xludf.DUMMYFUNCTION("""COMPUTED_VALUE"""),25.45522)</f>
        <v>25.455220000000001</v>
      </c>
      <c r="M227" s="25">
        <f ca="1">IFERROR(__xludf.DUMMYFUNCTION("""COMPUTED_VALUE"""),89.76677)</f>
        <v>89.766769999999994</v>
      </c>
      <c r="N227" s="25"/>
      <c r="O22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7" s="25" t="str">
        <f ca="1">IFERROR(__xludf.DUMMYFUNCTION("""COMPUTED_VALUE"""),"ফলদ, বনজ")</f>
        <v>ফলদ, বনজ</v>
      </c>
      <c r="Q227" s="25">
        <f ca="1">IFERROR(__xludf.DUMMYFUNCTION("""COMPUTED_VALUE"""),5)</f>
        <v>5</v>
      </c>
      <c r="R227" s="25"/>
      <c r="S227" s="25"/>
      <c r="T227" s="25"/>
      <c r="U227" s="25" t="str">
        <f ca="1">IFERROR(__xludf.DUMMYFUNCTION("""COMPUTED_VALUE"""),"মোঃ আঃ মজিদ")</f>
        <v>মোঃ আঃ মজিদ</v>
      </c>
      <c r="V227" s="25" t="str">
        <f ca="1">IFERROR(__xludf.DUMMYFUNCTION("""COMPUTED_VALUE"""),"০১৯১৮৪৮২১৯১৪৮")</f>
        <v>০১৯১৮৪৮২১৯১৪৮</v>
      </c>
      <c r="W227" s="25" t="str">
        <f ca="1">IFERROR(__xludf.DUMMYFUNCTION("""COMPUTED_VALUE"""),"মোঃ শফিকুল ইসলাম
")</f>
        <v xml:space="preserve">মোঃ শফিকুল ইসলাম
</v>
      </c>
      <c r="X227" s="25" t="str">
        <f ca="1">IFERROR(__xludf.DUMMYFUNCTION("""COMPUTED_VALUE"""),"০১৯২৪৬৯২০৭৫")</f>
        <v>০১৯২৪৬৯২০৭৫</v>
      </c>
      <c r="Y227" s="25"/>
      <c r="Z227" s="25"/>
      <c r="AA227" s="25"/>
      <c r="AB227" s="25"/>
      <c r="AC227" s="25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spans="1:40" ht="15" customHeight="1" x14ac:dyDescent="0.15">
      <c r="A228" s="21"/>
      <c r="B228" s="21"/>
      <c r="C228" s="21" t="str">
        <f ca="1">IFERROR(__xludf.DUMMYFUNCTION("""COMPUTED_VALUE"""),"রংপুর")</f>
        <v>রংপুর</v>
      </c>
      <c r="D228" s="21" t="str">
        <f ca="1">IFERROR(__xludf.DUMMYFUNCTION("""COMPUTED_VALUE"""),"রংপুর")</f>
        <v>রংপুর</v>
      </c>
      <c r="E228" s="21" t="str">
        <f ca="1">IFERROR(__xludf.DUMMYFUNCTION("""COMPUTED_VALUE"""),"কুড়িগ্রাম")</f>
        <v>কুড়িগ্রাম</v>
      </c>
      <c r="F228" s="21" t="str">
        <f ca="1">IFERROR(__xludf.DUMMYFUNCTION("""COMPUTED_VALUE"""),"চর রাজিবপুর")</f>
        <v>চর রাজিবপুর</v>
      </c>
      <c r="G228" s="21"/>
      <c r="H228" s="21"/>
      <c r="I228" s="21"/>
      <c r="J228" s="21" t="str">
        <f ca="1">IFERROR(__xludf.DUMMYFUNCTION("""COMPUTED_VALUE"""),"প্রণোদনা")</f>
        <v>প্রণোদনা</v>
      </c>
      <c r="K228" s="21"/>
      <c r="L228" s="21">
        <f ca="1">IFERROR(__xludf.DUMMYFUNCTION("""COMPUTED_VALUE"""),25.47167)</f>
        <v>25.47167</v>
      </c>
      <c r="M228" s="21">
        <f ca="1">IFERROR(__xludf.DUMMYFUNCTION("""COMPUTED_VALUE"""),89.77596)</f>
        <v>89.775959999999998</v>
      </c>
      <c r="N228" s="21"/>
      <c r="O22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8" s="21" t="str">
        <f ca="1">IFERROR(__xludf.DUMMYFUNCTION("""COMPUTED_VALUE"""),"ফলদ, বনজ")</f>
        <v>ফলদ, বনজ</v>
      </c>
      <c r="Q228" s="21">
        <f ca="1">IFERROR(__xludf.DUMMYFUNCTION("""COMPUTED_VALUE"""),5)</f>
        <v>5</v>
      </c>
      <c r="R228" s="21"/>
      <c r="S228" s="21"/>
      <c r="T228" s="21"/>
      <c r="U228" s="21" t="str">
        <f ca="1">IFERROR(__xludf.DUMMYFUNCTION("""COMPUTED_VALUE"""),"মোঃ হারুন মিয়া")</f>
        <v>মোঃ হারুন মিয়া</v>
      </c>
      <c r="V228" s="21" t="str">
        <f ca="1">IFERROR(__xludf.DUMMYFUNCTION("""COMPUTED_VALUE"""),"০১৬২৭০৪১৩১০")</f>
        <v>০১৬২৭০৪১৩১০</v>
      </c>
      <c r="W228" s="21" t="str">
        <f ca="1">IFERROR(__xludf.DUMMYFUNCTION("""COMPUTED_VALUE"""),"মোঃ শফিকুল ইসলাম
")</f>
        <v xml:space="preserve">মোঃ শফিকুল ইসলাম
</v>
      </c>
      <c r="X228" s="21" t="str">
        <f ca="1">IFERROR(__xludf.DUMMYFUNCTION("""COMPUTED_VALUE"""),"০১৯২৪৬৯২০৭৫")</f>
        <v>০১৯২৪৬৯২০৭৫</v>
      </c>
      <c r="Y228" s="21"/>
      <c r="Z228" s="21"/>
      <c r="AA228" s="21"/>
      <c r="AB228" s="21"/>
      <c r="AC228" s="21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</row>
    <row r="229" spans="1:40" ht="15" customHeight="1" x14ac:dyDescent="0.15">
      <c r="A229" s="25"/>
      <c r="B229" s="25"/>
      <c r="C229" s="25" t="str">
        <f ca="1">IFERROR(__xludf.DUMMYFUNCTION("""COMPUTED_VALUE"""),"রংপুর")</f>
        <v>রংপুর</v>
      </c>
      <c r="D229" s="25" t="str">
        <f ca="1">IFERROR(__xludf.DUMMYFUNCTION("""COMPUTED_VALUE"""),"রংপুর")</f>
        <v>রংপুর</v>
      </c>
      <c r="E229" s="25" t="str">
        <f ca="1">IFERROR(__xludf.DUMMYFUNCTION("""COMPUTED_VALUE"""),"কুড়িগ্রাম")</f>
        <v>কুড়িগ্রাম</v>
      </c>
      <c r="F229" s="25" t="str">
        <f ca="1">IFERROR(__xludf.DUMMYFUNCTION("""COMPUTED_VALUE"""),"চর রাজিবপুর")</f>
        <v>চর রাজিবপুর</v>
      </c>
      <c r="G229" s="25"/>
      <c r="H229" s="25"/>
      <c r="I229" s="25"/>
      <c r="J229" s="25" t="str">
        <f ca="1">IFERROR(__xludf.DUMMYFUNCTION("""COMPUTED_VALUE"""),"প্রণোদনা")</f>
        <v>প্রণোদনা</v>
      </c>
      <c r="K229" s="25"/>
      <c r="L229" s="25">
        <f ca="1">IFERROR(__xludf.DUMMYFUNCTION("""COMPUTED_VALUE"""),25.45636)</f>
        <v>25.45636</v>
      </c>
      <c r="M229" s="25">
        <f ca="1">IFERROR(__xludf.DUMMYFUNCTION("""COMPUTED_VALUE"""),89.77661)</f>
        <v>89.776610000000005</v>
      </c>
      <c r="N229" s="25"/>
      <c r="O22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9" s="25" t="str">
        <f ca="1">IFERROR(__xludf.DUMMYFUNCTION("""COMPUTED_VALUE"""),"ফলদ, বনজ")</f>
        <v>ফলদ, বনজ</v>
      </c>
      <c r="Q229" s="25">
        <f ca="1">IFERROR(__xludf.DUMMYFUNCTION("""COMPUTED_VALUE"""),5)</f>
        <v>5</v>
      </c>
      <c r="R229" s="25"/>
      <c r="S229" s="25"/>
      <c r="T229" s="25"/>
      <c r="U229" s="25" t="str">
        <f ca="1">IFERROR(__xludf.DUMMYFUNCTION("""COMPUTED_VALUE"""),"মোছাঃ আনোয়ারা খাতুন")</f>
        <v>মোছাঃ আনোয়ারা খাতুন</v>
      </c>
      <c r="V229" s="25" t="str">
        <f ca="1">IFERROR(__xludf.DUMMYFUNCTION("""COMPUTED_VALUE"""),"০১৬০৯৮৬০২৫")</f>
        <v>০১৬০৯৮৬০২৫</v>
      </c>
      <c r="W229" s="25" t="str">
        <f ca="1">IFERROR(__xludf.DUMMYFUNCTION("""COMPUTED_VALUE"""),"মোঃ শফিকুল ইসলাম
")</f>
        <v xml:space="preserve">মোঃ শফিকুল ইসলাম
</v>
      </c>
      <c r="X229" s="25" t="str">
        <f ca="1">IFERROR(__xludf.DUMMYFUNCTION("""COMPUTED_VALUE"""),"০১৯২৪৬৯২০৭৫")</f>
        <v>০১৯২৪৬৯২০৭৫</v>
      </c>
      <c r="Y229" s="25"/>
      <c r="Z229" s="25"/>
      <c r="AA229" s="25"/>
      <c r="AB229" s="25"/>
      <c r="AC229" s="25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spans="1:40" ht="15" customHeight="1" x14ac:dyDescent="0.15">
      <c r="A230" s="21"/>
      <c r="B230" s="21"/>
      <c r="C230" s="21" t="str">
        <f ca="1">IFERROR(__xludf.DUMMYFUNCTION("""COMPUTED_VALUE"""),"রংপুর")</f>
        <v>রংপুর</v>
      </c>
      <c r="D230" s="21" t="str">
        <f ca="1">IFERROR(__xludf.DUMMYFUNCTION("""COMPUTED_VALUE"""),"রংপুর")</f>
        <v>রংপুর</v>
      </c>
      <c r="E230" s="21" t="str">
        <f ca="1">IFERROR(__xludf.DUMMYFUNCTION("""COMPUTED_VALUE"""),"কুড়িগ্রাম")</f>
        <v>কুড়িগ্রাম</v>
      </c>
      <c r="F230" s="21" t="str">
        <f ca="1">IFERROR(__xludf.DUMMYFUNCTION("""COMPUTED_VALUE"""),"চর রাজিবপুর")</f>
        <v>চর রাজিবপুর</v>
      </c>
      <c r="G230" s="21"/>
      <c r="H230" s="21"/>
      <c r="I230" s="21"/>
      <c r="J230" s="21" t="str">
        <f ca="1">IFERROR(__xludf.DUMMYFUNCTION("""COMPUTED_VALUE"""),"প্রণোদনা")</f>
        <v>প্রণোদনা</v>
      </c>
      <c r="K230" s="21"/>
      <c r="L230" s="21">
        <f ca="1">IFERROR(__xludf.DUMMYFUNCTION("""COMPUTED_VALUE"""),25.463031)</f>
        <v>25.463031000000001</v>
      </c>
      <c r="M230" s="21">
        <f ca="1">IFERROR(__xludf.DUMMYFUNCTION("""COMPUTED_VALUE"""),89.77541)</f>
        <v>89.775409999999994</v>
      </c>
      <c r="N230" s="21"/>
      <c r="O23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0" s="21" t="str">
        <f ca="1">IFERROR(__xludf.DUMMYFUNCTION("""COMPUTED_VALUE"""),"ফলদ, বনজ")</f>
        <v>ফলদ, বনজ</v>
      </c>
      <c r="Q230" s="21">
        <f ca="1">IFERROR(__xludf.DUMMYFUNCTION("""COMPUTED_VALUE"""),5)</f>
        <v>5</v>
      </c>
      <c r="R230" s="21"/>
      <c r="S230" s="21"/>
      <c r="T230" s="21"/>
      <c r="U230" s="21" t="str">
        <f ca="1">IFERROR(__xludf.DUMMYFUNCTION("""COMPUTED_VALUE"""),"মোঃ আঃ আজিজ")</f>
        <v>মোঃ আঃ আজিজ</v>
      </c>
      <c r="V230" s="21" t="str">
        <f ca="1">IFERROR(__xludf.DUMMYFUNCTION("""COMPUTED_VALUE"""),"০১৮৫৮৮৮১৮৬৭")</f>
        <v>০১৮৫৮৮৮১৮৬৭</v>
      </c>
      <c r="W230" s="21" t="str">
        <f ca="1">IFERROR(__xludf.DUMMYFUNCTION("""COMPUTED_VALUE"""),"মোঃ শফিকুল ইসলাম
")</f>
        <v xml:space="preserve">মোঃ শফিকুল ইসলাম
</v>
      </c>
      <c r="X230" s="21" t="str">
        <f ca="1">IFERROR(__xludf.DUMMYFUNCTION("""COMPUTED_VALUE"""),"০১৯২৪৬৯২০৭৫")</f>
        <v>০১৯২৪৬৯২০৭৫</v>
      </c>
      <c r="Y230" s="21"/>
      <c r="Z230" s="21"/>
      <c r="AA230" s="21"/>
      <c r="AB230" s="21"/>
      <c r="AC230" s="21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</row>
    <row r="231" spans="1:40" ht="15" customHeight="1" x14ac:dyDescent="0.15">
      <c r="A231" s="25"/>
      <c r="B231" s="25"/>
      <c r="C231" s="25" t="str">
        <f ca="1">IFERROR(__xludf.DUMMYFUNCTION("""COMPUTED_VALUE"""),"রংপুর")</f>
        <v>রংপুর</v>
      </c>
      <c r="D231" s="25" t="str">
        <f ca="1">IFERROR(__xludf.DUMMYFUNCTION("""COMPUTED_VALUE"""),"রংপুর")</f>
        <v>রংপুর</v>
      </c>
      <c r="E231" s="25" t="str">
        <f ca="1">IFERROR(__xludf.DUMMYFUNCTION("""COMPUTED_VALUE"""),"কুড়িগ্রাম")</f>
        <v>কুড়িগ্রাম</v>
      </c>
      <c r="F231" s="25" t="str">
        <f ca="1">IFERROR(__xludf.DUMMYFUNCTION("""COMPUTED_VALUE"""),"চর রাজিবপুর")</f>
        <v>চর রাজিবপুর</v>
      </c>
      <c r="G231" s="25"/>
      <c r="H231" s="25"/>
      <c r="I231" s="25"/>
      <c r="J231" s="25" t="str">
        <f ca="1">IFERROR(__xludf.DUMMYFUNCTION("""COMPUTED_VALUE"""),"প্রণোদনা")</f>
        <v>প্রণোদনা</v>
      </c>
      <c r="K231" s="25"/>
      <c r="L231" s="25">
        <f ca="1">IFERROR(__xludf.DUMMYFUNCTION("""COMPUTED_VALUE"""),25.46978)</f>
        <v>25.46978</v>
      </c>
      <c r="M231" s="25">
        <f ca="1">IFERROR(__xludf.DUMMYFUNCTION("""COMPUTED_VALUE"""),89.77595)</f>
        <v>89.775949999999995</v>
      </c>
      <c r="N231" s="25"/>
      <c r="O23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1" s="25" t="str">
        <f ca="1">IFERROR(__xludf.DUMMYFUNCTION("""COMPUTED_VALUE"""),"ফলদ, বনজ")</f>
        <v>ফলদ, বনজ</v>
      </c>
      <c r="Q231" s="25">
        <f ca="1">IFERROR(__xludf.DUMMYFUNCTION("""COMPUTED_VALUE"""),5)</f>
        <v>5</v>
      </c>
      <c r="R231" s="25"/>
      <c r="S231" s="25"/>
      <c r="T231" s="25"/>
      <c r="U231" s="25" t="str">
        <f ca="1">IFERROR(__xludf.DUMMYFUNCTION("""COMPUTED_VALUE"""),"মোঃ আছর উদ্দিন")</f>
        <v>মোঃ আছর উদ্দিন</v>
      </c>
      <c r="V231" s="25" t="str">
        <f ca="1">IFERROR(__xludf.DUMMYFUNCTION("""COMPUTED_VALUE"""),"০১৫৮০৪৭৩৯৭৭")</f>
        <v>০১৫৮০৪৭৩৯৭৭</v>
      </c>
      <c r="W231" s="25" t="str">
        <f ca="1">IFERROR(__xludf.DUMMYFUNCTION("""COMPUTED_VALUE"""),"মোঃ শফিকুল ইসলাম
")</f>
        <v xml:space="preserve">মোঃ শফিকুল ইসলাম
</v>
      </c>
      <c r="X231" s="25" t="str">
        <f ca="1">IFERROR(__xludf.DUMMYFUNCTION("""COMPUTED_VALUE"""),"০১৯২৪৬৯২০৭৫")</f>
        <v>০১৯২৪৬৯২০৭৫</v>
      </c>
      <c r="Y231" s="25"/>
      <c r="Z231" s="25"/>
      <c r="AA231" s="25"/>
      <c r="AB231" s="25"/>
      <c r="AC231" s="25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spans="1:40" ht="15" customHeight="1" x14ac:dyDescent="0.15">
      <c r="A232" s="21"/>
      <c r="B232" s="21"/>
      <c r="C232" s="21" t="str">
        <f ca="1">IFERROR(__xludf.DUMMYFUNCTION("""COMPUTED_VALUE"""),"রংপুর")</f>
        <v>রংপুর</v>
      </c>
      <c r="D232" s="21" t="str">
        <f ca="1">IFERROR(__xludf.DUMMYFUNCTION("""COMPUTED_VALUE"""),"রংপুর")</f>
        <v>রংপুর</v>
      </c>
      <c r="E232" s="21" t="str">
        <f ca="1">IFERROR(__xludf.DUMMYFUNCTION("""COMPUTED_VALUE"""),"কুড়িগ্রাম")</f>
        <v>কুড়িগ্রাম</v>
      </c>
      <c r="F232" s="21" t="str">
        <f ca="1">IFERROR(__xludf.DUMMYFUNCTION("""COMPUTED_VALUE"""),"চর রাজিবপুর")</f>
        <v>চর রাজিবপুর</v>
      </c>
      <c r="G232" s="21"/>
      <c r="H232" s="21"/>
      <c r="I232" s="21"/>
      <c r="J232" s="21" t="str">
        <f ca="1">IFERROR(__xludf.DUMMYFUNCTION("""COMPUTED_VALUE"""),"প্রণোদনা")</f>
        <v>প্রণোদনা</v>
      </c>
      <c r="K232" s="21"/>
      <c r="L232" s="21">
        <f ca="1">IFERROR(__xludf.DUMMYFUNCTION("""COMPUTED_VALUE"""),25.46114)</f>
        <v>25.46114</v>
      </c>
      <c r="M232" s="21">
        <f ca="1">IFERROR(__xludf.DUMMYFUNCTION("""COMPUTED_VALUE"""),89.77571)</f>
        <v>89.775710000000004</v>
      </c>
      <c r="N232" s="21"/>
      <c r="O23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2" s="21" t="str">
        <f ca="1">IFERROR(__xludf.DUMMYFUNCTION("""COMPUTED_VALUE"""),"ফলদ, বনজ")</f>
        <v>ফলদ, বনজ</v>
      </c>
      <c r="Q232" s="21">
        <f ca="1">IFERROR(__xludf.DUMMYFUNCTION("""COMPUTED_VALUE"""),5)</f>
        <v>5</v>
      </c>
      <c r="R232" s="21"/>
      <c r="S232" s="21"/>
      <c r="T232" s="21"/>
      <c r="U232" s="21" t="str">
        <f ca="1">IFERROR(__xludf.DUMMYFUNCTION("""COMPUTED_VALUE"""),"মোঃ মশিউর রহমান")</f>
        <v>মোঃ মশিউর রহমান</v>
      </c>
      <c r="V232" s="21" t="str">
        <f ca="1">IFERROR(__xludf.DUMMYFUNCTION("""COMPUTED_VALUE"""),"০১৩৬৪৭৭০৪৩")</f>
        <v>০১৩৬৪৭৭০৪৩</v>
      </c>
      <c r="W232" s="21" t="str">
        <f ca="1">IFERROR(__xludf.DUMMYFUNCTION("""COMPUTED_VALUE"""),"মোঃ শফিকুল ইসলাম
")</f>
        <v xml:space="preserve">মোঃ শফিকুল ইসলাম
</v>
      </c>
      <c r="X232" s="21" t="str">
        <f ca="1">IFERROR(__xludf.DUMMYFUNCTION("""COMPUTED_VALUE"""),"০১৯২৪৬৯২০৭৫")</f>
        <v>০১৯২৪৬৯২০৭৫</v>
      </c>
      <c r="Y232" s="21"/>
      <c r="Z232" s="21"/>
      <c r="AA232" s="21"/>
      <c r="AB232" s="21"/>
      <c r="AC232" s="21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</row>
    <row r="233" spans="1:40" ht="15" customHeight="1" x14ac:dyDescent="0.15">
      <c r="A233" s="25"/>
      <c r="B233" s="25"/>
      <c r="C233" s="25" t="str">
        <f ca="1">IFERROR(__xludf.DUMMYFUNCTION("""COMPUTED_VALUE"""),"রংপুর")</f>
        <v>রংপুর</v>
      </c>
      <c r="D233" s="25" t="str">
        <f ca="1">IFERROR(__xludf.DUMMYFUNCTION("""COMPUTED_VALUE"""),"রংপুর")</f>
        <v>রংপুর</v>
      </c>
      <c r="E233" s="25" t="str">
        <f ca="1">IFERROR(__xludf.DUMMYFUNCTION("""COMPUTED_VALUE"""),"কুড়িগ্রাম")</f>
        <v>কুড়িগ্রাম</v>
      </c>
      <c r="F233" s="25" t="str">
        <f ca="1">IFERROR(__xludf.DUMMYFUNCTION("""COMPUTED_VALUE"""),"চর রাজিবপুর")</f>
        <v>চর রাজিবপুর</v>
      </c>
      <c r="G233" s="25"/>
      <c r="H233" s="25"/>
      <c r="I233" s="25"/>
      <c r="J233" s="25" t="str">
        <f ca="1">IFERROR(__xludf.DUMMYFUNCTION("""COMPUTED_VALUE"""),"প্রণোদনা")</f>
        <v>প্রণোদনা</v>
      </c>
      <c r="K233" s="25"/>
      <c r="L233" s="25">
        <f ca="1">IFERROR(__xludf.DUMMYFUNCTION("""COMPUTED_VALUE"""),25.47199)</f>
        <v>25.471990000000002</v>
      </c>
      <c r="M233" s="25">
        <f ca="1">IFERROR(__xludf.DUMMYFUNCTION("""COMPUTED_VALUE"""),89.77729)</f>
        <v>89.777289999999994</v>
      </c>
      <c r="N233" s="25"/>
      <c r="O23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3" s="25" t="str">
        <f ca="1">IFERROR(__xludf.DUMMYFUNCTION("""COMPUTED_VALUE"""),"ফলদ, বনজ")</f>
        <v>ফলদ, বনজ</v>
      </c>
      <c r="Q233" s="25">
        <f ca="1">IFERROR(__xludf.DUMMYFUNCTION("""COMPUTED_VALUE"""),5)</f>
        <v>5</v>
      </c>
      <c r="R233" s="25"/>
      <c r="S233" s="25"/>
      <c r="T233" s="25"/>
      <c r="U233" s="25" t="str">
        <f ca="1">IFERROR(__xludf.DUMMYFUNCTION("""COMPUTED_VALUE"""),"মোছাঃ জহুরা খাতুন")</f>
        <v>মোছাঃ জহুরা খাতুন</v>
      </c>
      <c r="V233" s="25" t="str">
        <f ca="1">IFERROR(__xludf.DUMMYFUNCTION("""COMPUTED_VALUE"""),"০১৮৮৯৯৫২০২৩")</f>
        <v>০১৮৮৯৯৫২০২৩</v>
      </c>
      <c r="W233" s="25" t="str">
        <f ca="1">IFERROR(__xludf.DUMMYFUNCTION("""COMPUTED_VALUE"""),"মোঃ শফিকুল ইসলাম
")</f>
        <v xml:space="preserve">মোঃ শফিকুল ইসলাম
</v>
      </c>
      <c r="X233" s="25" t="str">
        <f ca="1">IFERROR(__xludf.DUMMYFUNCTION("""COMPUTED_VALUE"""),"০১৯২৪৬৯২০৭৫")</f>
        <v>০১৯২৪৬৯২০৭৫</v>
      </c>
      <c r="Y233" s="25"/>
      <c r="Z233" s="25"/>
      <c r="AA233" s="25"/>
      <c r="AB233" s="25"/>
      <c r="AC233" s="25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spans="1:40" ht="15" customHeight="1" x14ac:dyDescent="0.15">
      <c r="A234" s="21"/>
      <c r="B234" s="21"/>
      <c r="C234" s="21" t="str">
        <f ca="1">IFERROR(__xludf.DUMMYFUNCTION("""COMPUTED_VALUE"""),"রংপুর")</f>
        <v>রংপুর</v>
      </c>
      <c r="D234" s="21" t="str">
        <f ca="1">IFERROR(__xludf.DUMMYFUNCTION("""COMPUTED_VALUE"""),"রংপুর")</f>
        <v>রংপুর</v>
      </c>
      <c r="E234" s="21" t="str">
        <f ca="1">IFERROR(__xludf.DUMMYFUNCTION("""COMPUTED_VALUE"""),"কুড়িগ্রাম")</f>
        <v>কুড়িগ্রাম</v>
      </c>
      <c r="F234" s="21" t="str">
        <f ca="1">IFERROR(__xludf.DUMMYFUNCTION("""COMPUTED_VALUE"""),"চর রাজিবপুর")</f>
        <v>চর রাজিবপুর</v>
      </c>
      <c r="G234" s="21"/>
      <c r="H234" s="21"/>
      <c r="I234" s="21"/>
      <c r="J234" s="21" t="str">
        <f ca="1">IFERROR(__xludf.DUMMYFUNCTION("""COMPUTED_VALUE"""),"প্রণোদনা")</f>
        <v>প্রণোদনা</v>
      </c>
      <c r="K234" s="21"/>
      <c r="L234" s="21">
        <f ca="1">IFERROR(__xludf.DUMMYFUNCTION("""COMPUTED_VALUE"""),2547209)</f>
        <v>2547209</v>
      </c>
      <c r="M234" s="21">
        <f ca="1">IFERROR(__xludf.DUMMYFUNCTION("""COMPUTED_VALUE"""),89.77741)</f>
        <v>89.777410000000003</v>
      </c>
      <c r="N234" s="21"/>
      <c r="O23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4" s="21" t="str">
        <f ca="1">IFERROR(__xludf.DUMMYFUNCTION("""COMPUTED_VALUE"""),"ফলদ, বনজ")</f>
        <v>ফলদ, বনজ</v>
      </c>
      <c r="Q234" s="21">
        <f ca="1">IFERROR(__xludf.DUMMYFUNCTION("""COMPUTED_VALUE"""),5)</f>
        <v>5</v>
      </c>
      <c r="R234" s="21"/>
      <c r="S234" s="21"/>
      <c r="T234" s="21"/>
      <c r="U234" s="21" t="str">
        <f ca="1">IFERROR(__xludf.DUMMYFUNCTION("""COMPUTED_VALUE"""),"মোছাঃ জেসমিন খাতুন")</f>
        <v>মোছাঃ জেসমিন খাতুন</v>
      </c>
      <c r="V234" s="21" t="str">
        <f ca="1">IFERROR(__xludf.DUMMYFUNCTION("""COMPUTED_VALUE"""),"০১৯০৪৮৫৯১২০")</f>
        <v>০১৯০৪৮৫৯১২০</v>
      </c>
      <c r="W234" s="21" t="str">
        <f ca="1">IFERROR(__xludf.DUMMYFUNCTION("""COMPUTED_VALUE"""),"মোঃ শফিকুল ইসলাম
")</f>
        <v xml:space="preserve">মোঃ শফিকুল ইসলাম
</v>
      </c>
      <c r="X234" s="21" t="str">
        <f ca="1">IFERROR(__xludf.DUMMYFUNCTION("""COMPUTED_VALUE"""),"০১৯২৪৬৯২০৭৫")</f>
        <v>০১৯২৪৬৯২০৭৫</v>
      </c>
      <c r="Y234" s="21"/>
      <c r="Z234" s="21"/>
      <c r="AA234" s="21"/>
      <c r="AB234" s="21"/>
      <c r="AC234" s="21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</row>
    <row r="235" spans="1:40" ht="15" customHeight="1" x14ac:dyDescent="0.15">
      <c r="A235" s="25"/>
      <c r="B235" s="25"/>
      <c r="C235" s="25" t="str">
        <f ca="1">IFERROR(__xludf.DUMMYFUNCTION("""COMPUTED_VALUE"""),"রংপুর")</f>
        <v>রংপুর</v>
      </c>
      <c r="D235" s="25" t="str">
        <f ca="1">IFERROR(__xludf.DUMMYFUNCTION("""COMPUTED_VALUE"""),"রংপুর")</f>
        <v>রংপুর</v>
      </c>
      <c r="E235" s="25" t="str">
        <f ca="1">IFERROR(__xludf.DUMMYFUNCTION("""COMPUTED_VALUE"""),"কুড়িগ্রাম")</f>
        <v>কুড়িগ্রাম</v>
      </c>
      <c r="F235" s="25" t="str">
        <f ca="1">IFERROR(__xludf.DUMMYFUNCTION("""COMPUTED_VALUE"""),"চর রাজিবপুর")</f>
        <v>চর রাজিবপুর</v>
      </c>
      <c r="G235" s="25"/>
      <c r="H235" s="25"/>
      <c r="I235" s="25"/>
      <c r="J235" s="25" t="str">
        <f ca="1">IFERROR(__xludf.DUMMYFUNCTION("""COMPUTED_VALUE"""),"প্রণোদনা")</f>
        <v>প্রণোদনা</v>
      </c>
      <c r="K235" s="25"/>
      <c r="L235" s="25">
        <f ca="1">IFERROR(__xludf.DUMMYFUNCTION("""COMPUTED_VALUE"""),25.46668)</f>
        <v>25.46668</v>
      </c>
      <c r="M235" s="25">
        <f ca="1">IFERROR(__xludf.DUMMYFUNCTION("""COMPUTED_VALUE"""),89.7619)</f>
        <v>89.761899999999997</v>
      </c>
      <c r="N235" s="25"/>
      <c r="O23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5" s="25" t="str">
        <f ca="1">IFERROR(__xludf.DUMMYFUNCTION("""COMPUTED_VALUE"""),"ফলদ, বনজ")</f>
        <v>ফলদ, বনজ</v>
      </c>
      <c r="Q235" s="25">
        <f ca="1">IFERROR(__xludf.DUMMYFUNCTION("""COMPUTED_VALUE"""),5)</f>
        <v>5</v>
      </c>
      <c r="R235" s="25"/>
      <c r="S235" s="25"/>
      <c r="T235" s="25"/>
      <c r="U235" s="25" t="str">
        <f ca="1">IFERROR(__xludf.DUMMYFUNCTION("""COMPUTED_VALUE"""),"মোছাঃ আদর আলী")</f>
        <v>মোছাঃ আদর আলী</v>
      </c>
      <c r="V235" s="25" t="str">
        <f ca="1">IFERROR(__xludf.DUMMYFUNCTION("""COMPUTED_VALUE"""),"০১৯৪২১৭৫৬৫০")</f>
        <v>০১৯৪২১৭৫৬৫০</v>
      </c>
      <c r="W235" s="25" t="str">
        <f ca="1">IFERROR(__xludf.DUMMYFUNCTION("""COMPUTED_VALUE"""),"মোঃ শফিকুল ইসলাম
")</f>
        <v xml:space="preserve">মোঃ শফিকুল ইসলাম
</v>
      </c>
      <c r="X235" s="25" t="str">
        <f ca="1">IFERROR(__xludf.DUMMYFUNCTION("""COMPUTED_VALUE"""),"০১৯২৪৬৯২০৭৫")</f>
        <v>০১৯২৪৬৯২০৭৫</v>
      </c>
      <c r="Y235" s="25"/>
      <c r="Z235" s="25"/>
      <c r="AA235" s="25"/>
      <c r="AB235" s="25"/>
      <c r="AC235" s="25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spans="1:40" ht="15" customHeight="1" x14ac:dyDescent="0.15">
      <c r="A236" s="21"/>
      <c r="B236" s="21"/>
      <c r="C236" s="21" t="str">
        <f ca="1">IFERROR(__xludf.DUMMYFUNCTION("""COMPUTED_VALUE"""),"রংপুর")</f>
        <v>রংপুর</v>
      </c>
      <c r="D236" s="21" t="str">
        <f ca="1">IFERROR(__xludf.DUMMYFUNCTION("""COMPUTED_VALUE"""),"রংপুর")</f>
        <v>রংপুর</v>
      </c>
      <c r="E236" s="21" t="str">
        <f ca="1">IFERROR(__xludf.DUMMYFUNCTION("""COMPUTED_VALUE"""),"কুড়িগ্রাম")</f>
        <v>কুড়িগ্রাম</v>
      </c>
      <c r="F236" s="21" t="str">
        <f ca="1">IFERROR(__xludf.DUMMYFUNCTION("""COMPUTED_VALUE"""),"চর রাজিবপুর")</f>
        <v>চর রাজিবপুর</v>
      </c>
      <c r="G236" s="21"/>
      <c r="H236" s="21"/>
      <c r="I236" s="21"/>
      <c r="J236" s="21" t="str">
        <f ca="1">IFERROR(__xludf.DUMMYFUNCTION("""COMPUTED_VALUE"""),"প্রণোদনা")</f>
        <v>প্রণোদনা</v>
      </c>
      <c r="K236" s="21"/>
      <c r="L236" s="21">
        <f ca="1">IFERROR(__xludf.DUMMYFUNCTION("""COMPUTED_VALUE"""),25.45807)</f>
        <v>25.458069999999999</v>
      </c>
      <c r="M236" s="21">
        <f ca="1">IFERROR(__xludf.DUMMYFUNCTION("""COMPUTED_VALUE"""),89.76712)</f>
        <v>89.767120000000006</v>
      </c>
      <c r="N236" s="21"/>
      <c r="O23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6" s="21" t="str">
        <f ca="1">IFERROR(__xludf.DUMMYFUNCTION("""COMPUTED_VALUE"""),"ফলদ, বনজ")</f>
        <v>ফলদ, বনজ</v>
      </c>
      <c r="Q236" s="21">
        <f ca="1">IFERROR(__xludf.DUMMYFUNCTION("""COMPUTED_VALUE"""),5)</f>
        <v>5</v>
      </c>
      <c r="R236" s="21"/>
      <c r="S236" s="21"/>
      <c r="T236" s="21"/>
      <c r="U236" s="21" t="str">
        <f ca="1">IFERROR(__xludf.DUMMYFUNCTION("""COMPUTED_VALUE"""),"মোছাঃ মর্জিনা বেগম")</f>
        <v>মোছাঃ মর্জিনা বেগম</v>
      </c>
      <c r="V236" s="21" t="str">
        <f ca="1">IFERROR(__xludf.DUMMYFUNCTION("""COMPUTED_VALUE"""),"০১৯৬৯১৬৫৫৬০")</f>
        <v>০১৯৬৯১৬৫৫৬০</v>
      </c>
      <c r="W236" s="21" t="str">
        <f ca="1">IFERROR(__xludf.DUMMYFUNCTION("""COMPUTED_VALUE"""),"মোঃ শফিকুল ইসলাম
")</f>
        <v xml:space="preserve">মোঃ শফিকুল ইসলাম
</v>
      </c>
      <c r="X236" s="21" t="str">
        <f ca="1">IFERROR(__xludf.DUMMYFUNCTION("""COMPUTED_VALUE"""),"০১৯২৪৬৯২০৭৫")</f>
        <v>০১৯২৪৬৯২০৭৫</v>
      </c>
      <c r="Y236" s="21"/>
      <c r="Z236" s="21"/>
      <c r="AA236" s="21"/>
      <c r="AB236" s="21"/>
      <c r="AC236" s="21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15" customHeight="1" x14ac:dyDescent="0.15">
      <c r="A237" s="25"/>
      <c r="B237" s="25"/>
      <c r="C237" s="25" t="str">
        <f ca="1">IFERROR(__xludf.DUMMYFUNCTION("""COMPUTED_VALUE"""),"রংপুর")</f>
        <v>রংপুর</v>
      </c>
      <c r="D237" s="25" t="str">
        <f ca="1">IFERROR(__xludf.DUMMYFUNCTION("""COMPUTED_VALUE"""),"রংপুর")</f>
        <v>রংপুর</v>
      </c>
      <c r="E237" s="25" t="str">
        <f ca="1">IFERROR(__xludf.DUMMYFUNCTION("""COMPUTED_VALUE"""),"কুড়িগ্রাম")</f>
        <v>কুড়িগ্রাম</v>
      </c>
      <c r="F237" s="25" t="str">
        <f ca="1">IFERROR(__xludf.DUMMYFUNCTION("""COMPUTED_VALUE"""),"চর রাজিবপুর")</f>
        <v>চর রাজিবপুর</v>
      </c>
      <c r="G237" s="25"/>
      <c r="H237" s="25"/>
      <c r="I237" s="25"/>
      <c r="J237" s="25" t="str">
        <f ca="1">IFERROR(__xludf.DUMMYFUNCTION("""COMPUTED_VALUE"""),"প্রণোদনা")</f>
        <v>প্রণোদনা</v>
      </c>
      <c r="K237" s="25"/>
      <c r="L237" s="25">
        <f ca="1">IFERROR(__xludf.DUMMYFUNCTION("""COMPUTED_VALUE"""),25.45806)</f>
        <v>25.45806</v>
      </c>
      <c r="M237" s="25">
        <f ca="1">IFERROR(__xludf.DUMMYFUNCTION("""COMPUTED_VALUE"""),89.76861)</f>
        <v>89.768609999999995</v>
      </c>
      <c r="N237" s="25"/>
      <c r="O23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7" s="25" t="str">
        <f ca="1">IFERROR(__xludf.DUMMYFUNCTION("""COMPUTED_VALUE"""),"ফলদ, বনজ")</f>
        <v>ফলদ, বনজ</v>
      </c>
      <c r="Q237" s="25">
        <f ca="1">IFERROR(__xludf.DUMMYFUNCTION("""COMPUTED_VALUE"""),5)</f>
        <v>5</v>
      </c>
      <c r="R237" s="25"/>
      <c r="S237" s="25"/>
      <c r="T237" s="25"/>
      <c r="U237" s="25" t="str">
        <f ca="1">IFERROR(__xludf.DUMMYFUNCTION("""COMPUTED_VALUE"""),"মোঃ আলীম")</f>
        <v>মোঃ আলীম</v>
      </c>
      <c r="V237" s="25" t="str">
        <f ca="1">IFERROR(__xludf.DUMMYFUNCTION("""COMPUTED_VALUE"""),"০১৯২৬২৩৯৮১৪")</f>
        <v>০১৯২৬২৩৯৮১৪</v>
      </c>
      <c r="W237" s="25" t="str">
        <f ca="1">IFERROR(__xludf.DUMMYFUNCTION("""COMPUTED_VALUE"""),"মোঃ শফিকুল ইসলাম
")</f>
        <v xml:space="preserve">মোঃ শফিকুল ইসলাম
</v>
      </c>
      <c r="X237" s="25" t="str">
        <f ca="1">IFERROR(__xludf.DUMMYFUNCTION("""COMPUTED_VALUE"""),"০১৯২৪৬৯২০৭৫")</f>
        <v>০১৯২৪৬৯২০৭৫</v>
      </c>
      <c r="Y237" s="25"/>
      <c r="Z237" s="25"/>
      <c r="AA237" s="25"/>
      <c r="AB237" s="25"/>
      <c r="AC237" s="25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spans="1:40" ht="15" customHeight="1" x14ac:dyDescent="0.15">
      <c r="A238" s="21"/>
      <c r="B238" s="21"/>
      <c r="C238" s="21" t="str">
        <f ca="1">IFERROR(__xludf.DUMMYFUNCTION("""COMPUTED_VALUE"""),"রংপুর")</f>
        <v>রংপুর</v>
      </c>
      <c r="D238" s="21" t="str">
        <f ca="1">IFERROR(__xludf.DUMMYFUNCTION("""COMPUTED_VALUE"""),"রংপুর")</f>
        <v>রংপুর</v>
      </c>
      <c r="E238" s="21" t="str">
        <f ca="1">IFERROR(__xludf.DUMMYFUNCTION("""COMPUTED_VALUE"""),"কুড়িগ্রাম")</f>
        <v>কুড়িগ্রাম</v>
      </c>
      <c r="F238" s="21" t="str">
        <f ca="1">IFERROR(__xludf.DUMMYFUNCTION("""COMPUTED_VALUE"""),"চর রাজিবপুর")</f>
        <v>চর রাজিবপুর</v>
      </c>
      <c r="G238" s="21"/>
      <c r="H238" s="21"/>
      <c r="I238" s="21"/>
      <c r="J238" s="21" t="str">
        <f ca="1">IFERROR(__xludf.DUMMYFUNCTION("""COMPUTED_VALUE"""),"প্রণোদনা")</f>
        <v>প্রণোদনা</v>
      </c>
      <c r="K238" s="21"/>
      <c r="L238" s="21">
        <f ca="1">IFERROR(__xludf.DUMMYFUNCTION("""COMPUTED_VALUE"""),25.483434)</f>
        <v>25.483433999999999</v>
      </c>
      <c r="M238" s="21">
        <f ca="1">IFERROR(__xludf.DUMMYFUNCTION("""COMPUTED_VALUE"""),89.792378)</f>
        <v>89.792377999999999</v>
      </c>
      <c r="N238" s="21"/>
      <c r="O23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8" s="21" t="str">
        <f ca="1">IFERROR(__xludf.DUMMYFUNCTION("""COMPUTED_VALUE"""),"ফলদ, বনজ")</f>
        <v>ফলদ, বনজ</v>
      </c>
      <c r="Q238" s="21">
        <f ca="1">IFERROR(__xludf.DUMMYFUNCTION("""COMPUTED_VALUE"""),5)</f>
        <v>5</v>
      </c>
      <c r="R238" s="21"/>
      <c r="S238" s="21"/>
      <c r="T238" s="21"/>
      <c r="U238" s="21" t="str">
        <f ca="1">IFERROR(__xludf.DUMMYFUNCTION("""COMPUTED_VALUE"""),"মোঃ সমের আলী")</f>
        <v>মোঃ সমের আলী</v>
      </c>
      <c r="V238" s="21" t="str">
        <f ca="1">IFERROR(__xludf.DUMMYFUNCTION("""COMPUTED_VALUE"""),"০১৭৮৩০২৭৯৫৩")</f>
        <v>০১৭৮৩০২৭৯৫৩</v>
      </c>
      <c r="W238" s="21" t="str">
        <f ca="1">IFERROR(__xludf.DUMMYFUNCTION("""COMPUTED_VALUE"""),"মোঃ আনোয়ার হোসেন
")</f>
        <v xml:space="preserve">মোঃ আনোয়ার হোসেন
</v>
      </c>
      <c r="X238" s="21" t="str">
        <f ca="1">IFERROR(__xludf.DUMMYFUNCTION("""COMPUTED_VALUE"""),"০১৭১৮১৬৫৪৯১")</f>
        <v>০১৭১৮১৬৫৪৯১</v>
      </c>
      <c r="Y238" s="21"/>
      <c r="Z238" s="21"/>
      <c r="AA238" s="21"/>
      <c r="AB238" s="21"/>
      <c r="AC238" s="21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15" customHeight="1" x14ac:dyDescent="0.15">
      <c r="A239" s="25"/>
      <c r="B239" s="25"/>
      <c r="C239" s="25" t="str">
        <f ca="1">IFERROR(__xludf.DUMMYFUNCTION("""COMPUTED_VALUE"""),"রংপুর")</f>
        <v>রংপুর</v>
      </c>
      <c r="D239" s="25" t="str">
        <f ca="1">IFERROR(__xludf.DUMMYFUNCTION("""COMPUTED_VALUE"""),"রংপুর")</f>
        <v>রংপুর</v>
      </c>
      <c r="E239" s="25" t="str">
        <f ca="1">IFERROR(__xludf.DUMMYFUNCTION("""COMPUTED_VALUE"""),"কুড়িগ্রাম")</f>
        <v>কুড়িগ্রাম</v>
      </c>
      <c r="F239" s="25" t="str">
        <f ca="1">IFERROR(__xludf.DUMMYFUNCTION("""COMPUTED_VALUE"""),"চর রাজিবপুর")</f>
        <v>চর রাজিবপুর</v>
      </c>
      <c r="G239" s="25"/>
      <c r="H239" s="25"/>
      <c r="I239" s="25"/>
      <c r="J239" s="25" t="str">
        <f ca="1">IFERROR(__xludf.DUMMYFUNCTION("""COMPUTED_VALUE"""),"প্রণোদনা")</f>
        <v>প্রণোদনা</v>
      </c>
      <c r="K239" s="25"/>
      <c r="L239" s="25">
        <f ca="1">IFERROR(__xludf.DUMMYFUNCTION("""COMPUTED_VALUE"""),25.482685)</f>
        <v>25.482685</v>
      </c>
      <c r="M239" s="25">
        <f ca="1">IFERROR(__xludf.DUMMYFUNCTION("""COMPUTED_VALUE"""),89.792396)</f>
        <v>89.792395999999997</v>
      </c>
      <c r="N239" s="25"/>
      <c r="O23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9" s="25" t="str">
        <f ca="1">IFERROR(__xludf.DUMMYFUNCTION("""COMPUTED_VALUE"""),"ফলদ, বনজ")</f>
        <v>ফলদ, বনজ</v>
      </c>
      <c r="Q239" s="25">
        <f ca="1">IFERROR(__xludf.DUMMYFUNCTION("""COMPUTED_VALUE"""),5)</f>
        <v>5</v>
      </c>
      <c r="R239" s="25"/>
      <c r="S239" s="25"/>
      <c r="T239" s="25"/>
      <c r="U239" s="25" t="str">
        <f ca="1">IFERROR(__xludf.DUMMYFUNCTION("""COMPUTED_VALUE"""),"মোঃ দুলাল মিয়া")</f>
        <v>মোঃ দুলাল মিয়া</v>
      </c>
      <c r="V239" s="25" t="str">
        <f ca="1">IFERROR(__xludf.DUMMYFUNCTION("""COMPUTED_VALUE"""),"০১৯১৪৫৭৪০৭৫")</f>
        <v>০১৯১৪৫৭৪০৭৫</v>
      </c>
      <c r="W239" s="25" t="str">
        <f ca="1">IFERROR(__xludf.DUMMYFUNCTION("""COMPUTED_VALUE"""),"মোঃ আনোয়ার হোসেন
")</f>
        <v xml:space="preserve">মোঃ আনোয়ার হোসেন
</v>
      </c>
      <c r="X239" s="25" t="str">
        <f ca="1">IFERROR(__xludf.DUMMYFUNCTION("""COMPUTED_VALUE"""),"০১৭১৮১৬৫৪৯১")</f>
        <v>০১৭১৮১৬৫৪৯১</v>
      </c>
      <c r="Y239" s="25"/>
      <c r="Z239" s="25"/>
      <c r="AA239" s="25"/>
      <c r="AB239" s="25"/>
      <c r="AC239" s="25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spans="1:40" ht="15" customHeight="1" x14ac:dyDescent="0.15">
      <c r="A240" s="21"/>
      <c r="B240" s="21"/>
      <c r="C240" s="21" t="str">
        <f ca="1">IFERROR(__xludf.DUMMYFUNCTION("""COMPUTED_VALUE"""),"রংপুর")</f>
        <v>রংপুর</v>
      </c>
      <c r="D240" s="21" t="str">
        <f ca="1">IFERROR(__xludf.DUMMYFUNCTION("""COMPUTED_VALUE"""),"রংপুর")</f>
        <v>রংপুর</v>
      </c>
      <c r="E240" s="21" t="str">
        <f ca="1">IFERROR(__xludf.DUMMYFUNCTION("""COMPUTED_VALUE"""),"কুড়িগ্রাম")</f>
        <v>কুড়িগ্রাম</v>
      </c>
      <c r="F240" s="21" t="str">
        <f ca="1">IFERROR(__xludf.DUMMYFUNCTION("""COMPUTED_VALUE"""),"চর রাজিবপুর")</f>
        <v>চর রাজিবপুর</v>
      </c>
      <c r="G240" s="21"/>
      <c r="H240" s="21"/>
      <c r="I240" s="21"/>
      <c r="J240" s="21" t="str">
        <f ca="1">IFERROR(__xludf.DUMMYFUNCTION("""COMPUTED_VALUE"""),"প্রণোদনা")</f>
        <v>প্রণোদনা</v>
      </c>
      <c r="K240" s="21"/>
      <c r="L240" s="21">
        <f ca="1">IFERROR(__xludf.DUMMYFUNCTION("""COMPUTED_VALUE"""),25.486542)</f>
        <v>25.486542</v>
      </c>
      <c r="M240" s="21">
        <f ca="1">IFERROR(__xludf.DUMMYFUNCTION("""COMPUTED_VALUE"""),89.795362)</f>
        <v>89.795361999999997</v>
      </c>
      <c r="N240" s="21"/>
      <c r="O24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0" s="21" t="str">
        <f ca="1">IFERROR(__xludf.DUMMYFUNCTION("""COMPUTED_VALUE"""),"ফলদ, বনজ")</f>
        <v>ফলদ, বনজ</v>
      </c>
      <c r="Q240" s="21">
        <f ca="1">IFERROR(__xludf.DUMMYFUNCTION("""COMPUTED_VALUE"""),5)</f>
        <v>5</v>
      </c>
      <c r="R240" s="21"/>
      <c r="S240" s="21"/>
      <c r="T240" s="21"/>
      <c r="U240" s="21" t="str">
        <f ca="1">IFERROR(__xludf.DUMMYFUNCTION("""COMPUTED_VALUE"""),"মোঃ শাহজাহান")</f>
        <v>মোঃ শাহজাহান</v>
      </c>
      <c r="V240" s="21" t="str">
        <f ca="1">IFERROR(__xludf.DUMMYFUNCTION("""COMPUTED_VALUE"""),"০১৯৮৮১৪৮১৩১")</f>
        <v>০১৯৮৮১৪৮১৩১</v>
      </c>
      <c r="W240" s="21" t="str">
        <f ca="1">IFERROR(__xludf.DUMMYFUNCTION("""COMPUTED_VALUE"""),"মোঃ আনোয়ার হোসেন
")</f>
        <v xml:space="preserve">মোঃ আনোয়ার হোসেন
</v>
      </c>
      <c r="X240" s="21" t="str">
        <f ca="1">IFERROR(__xludf.DUMMYFUNCTION("""COMPUTED_VALUE"""),"০১৭১৮১৬৫৪৯১")</f>
        <v>০১৭১৮১৬৫৪৯১</v>
      </c>
      <c r="Y240" s="21"/>
      <c r="Z240" s="21"/>
      <c r="AA240" s="21"/>
      <c r="AB240" s="21"/>
      <c r="AC240" s="21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</row>
    <row r="241" spans="1:40" ht="15" customHeight="1" x14ac:dyDescent="0.15">
      <c r="A241" s="25"/>
      <c r="B241" s="25"/>
      <c r="C241" s="25" t="str">
        <f ca="1">IFERROR(__xludf.DUMMYFUNCTION("""COMPUTED_VALUE"""),"রংপুর")</f>
        <v>রংপুর</v>
      </c>
      <c r="D241" s="25" t="str">
        <f ca="1">IFERROR(__xludf.DUMMYFUNCTION("""COMPUTED_VALUE"""),"রংপুর")</f>
        <v>রংপুর</v>
      </c>
      <c r="E241" s="25" t="str">
        <f ca="1">IFERROR(__xludf.DUMMYFUNCTION("""COMPUTED_VALUE"""),"কুড়িগ্রাম")</f>
        <v>কুড়িগ্রাম</v>
      </c>
      <c r="F241" s="25" t="str">
        <f ca="1">IFERROR(__xludf.DUMMYFUNCTION("""COMPUTED_VALUE"""),"চর রাজিবপুর")</f>
        <v>চর রাজিবপুর</v>
      </c>
      <c r="G241" s="25"/>
      <c r="H241" s="25"/>
      <c r="I241" s="25"/>
      <c r="J241" s="25" t="str">
        <f ca="1">IFERROR(__xludf.DUMMYFUNCTION("""COMPUTED_VALUE"""),"প্রণোদনা")</f>
        <v>প্রণোদনা</v>
      </c>
      <c r="K241" s="25"/>
      <c r="L241" s="25">
        <f ca="1">IFERROR(__xludf.DUMMYFUNCTION("""COMPUTED_VALUE"""),25.467781)</f>
        <v>25.467780999999999</v>
      </c>
      <c r="M241" s="25">
        <f ca="1">IFERROR(__xludf.DUMMYFUNCTION("""COMPUTED_VALUE"""),89.79497)</f>
        <v>89.794970000000006</v>
      </c>
      <c r="N241" s="25"/>
      <c r="O24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1" s="25" t="str">
        <f ca="1">IFERROR(__xludf.DUMMYFUNCTION("""COMPUTED_VALUE"""),"ফলদ, বনজ")</f>
        <v>ফলদ, বনজ</v>
      </c>
      <c r="Q241" s="25">
        <f ca="1">IFERROR(__xludf.DUMMYFUNCTION("""COMPUTED_VALUE"""),5)</f>
        <v>5</v>
      </c>
      <c r="R241" s="25"/>
      <c r="S241" s="25"/>
      <c r="T241" s="25"/>
      <c r="U241" s="25" t="str">
        <f ca="1">IFERROR(__xludf.DUMMYFUNCTION("""COMPUTED_VALUE"""),"মোঃ আঃ করিম")</f>
        <v>মোঃ আঃ করিম</v>
      </c>
      <c r="V241" s="25" t="str">
        <f ca="1">IFERROR(__xludf.DUMMYFUNCTION("""COMPUTED_VALUE"""),"০১৯০৮২৩৬২১৫")</f>
        <v>০১৯০৮২৩৬২১৫</v>
      </c>
      <c r="W241" s="25" t="str">
        <f ca="1">IFERROR(__xludf.DUMMYFUNCTION("""COMPUTED_VALUE"""),"মোঃ আনোয়ার হোসেন
")</f>
        <v xml:space="preserve">মোঃ আনোয়ার হোসেন
</v>
      </c>
      <c r="X241" s="25" t="str">
        <f ca="1">IFERROR(__xludf.DUMMYFUNCTION("""COMPUTED_VALUE"""),"০১৭১৮১৬৫৪৯১")</f>
        <v>০১৭১৮১৬৫৪৯১</v>
      </c>
      <c r="Y241" s="25"/>
      <c r="Z241" s="25"/>
      <c r="AA241" s="25"/>
      <c r="AB241" s="25"/>
      <c r="AC241" s="25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spans="1:40" ht="15" customHeight="1" x14ac:dyDescent="0.15">
      <c r="A242" s="21"/>
      <c r="B242" s="21"/>
      <c r="C242" s="21" t="str">
        <f ca="1">IFERROR(__xludf.DUMMYFUNCTION("""COMPUTED_VALUE"""),"রংপুর")</f>
        <v>রংপুর</v>
      </c>
      <c r="D242" s="21" t="str">
        <f ca="1">IFERROR(__xludf.DUMMYFUNCTION("""COMPUTED_VALUE"""),"রংপুর")</f>
        <v>রংপুর</v>
      </c>
      <c r="E242" s="21" t="str">
        <f ca="1">IFERROR(__xludf.DUMMYFUNCTION("""COMPUTED_VALUE"""),"কুড়িগ্রাম")</f>
        <v>কুড়িগ্রাম</v>
      </c>
      <c r="F242" s="21" t="str">
        <f ca="1">IFERROR(__xludf.DUMMYFUNCTION("""COMPUTED_VALUE"""),"চর রাজিবপুর")</f>
        <v>চর রাজিবপুর</v>
      </c>
      <c r="G242" s="21"/>
      <c r="H242" s="21"/>
      <c r="I242" s="21"/>
      <c r="J242" s="21" t="str">
        <f ca="1">IFERROR(__xludf.DUMMYFUNCTION("""COMPUTED_VALUE"""),"প্রণোদনা")</f>
        <v>প্রণোদনা</v>
      </c>
      <c r="K242" s="21"/>
      <c r="L242" s="21">
        <f ca="1">IFERROR(__xludf.DUMMYFUNCTION("""COMPUTED_VALUE"""),25.498313)</f>
        <v>25.498313</v>
      </c>
      <c r="M242" s="21">
        <f ca="1">IFERROR(__xludf.DUMMYFUNCTION("""COMPUTED_VALUE"""),89.779273)</f>
        <v>89.779273000000003</v>
      </c>
      <c r="N242" s="21"/>
      <c r="O24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2" s="21" t="str">
        <f ca="1">IFERROR(__xludf.DUMMYFUNCTION("""COMPUTED_VALUE"""),"ফলদ, বনজ")</f>
        <v>ফলদ, বনজ</v>
      </c>
      <c r="Q242" s="21">
        <f ca="1">IFERROR(__xludf.DUMMYFUNCTION("""COMPUTED_VALUE"""),5)</f>
        <v>5</v>
      </c>
      <c r="R242" s="21"/>
      <c r="S242" s="21"/>
      <c r="T242" s="21"/>
      <c r="U242" s="21" t="str">
        <f ca="1">IFERROR(__xludf.DUMMYFUNCTION("""COMPUTED_VALUE"""),"মোঃ হাবেজ উদ্দিন")</f>
        <v>মোঃ হাবেজ উদ্দিন</v>
      </c>
      <c r="V242" s="21" t="str">
        <f ca="1">IFERROR(__xludf.DUMMYFUNCTION("""COMPUTED_VALUE"""),"০১৪০৫৯৬০৩০০")</f>
        <v>০১৪০৫৯৬০৩০০</v>
      </c>
      <c r="W242" s="21" t="str">
        <f ca="1">IFERROR(__xludf.DUMMYFUNCTION("""COMPUTED_VALUE"""),"মোঃ আনোয়ার হোসেন
")</f>
        <v xml:space="preserve">মোঃ আনোয়ার হোসেন
</v>
      </c>
      <c r="X242" s="21" t="str">
        <f ca="1">IFERROR(__xludf.DUMMYFUNCTION("""COMPUTED_VALUE"""),"০১৭১৮১৬৫৪৯১")</f>
        <v>০১৭১৮১৬৫৪৯১</v>
      </c>
      <c r="Y242" s="21"/>
      <c r="Z242" s="21"/>
      <c r="AA242" s="21"/>
      <c r="AB242" s="21"/>
      <c r="AC242" s="21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</row>
    <row r="243" spans="1:40" ht="15" customHeight="1" x14ac:dyDescent="0.15">
      <c r="A243" s="25"/>
      <c r="B243" s="25"/>
      <c r="C243" s="25" t="str">
        <f ca="1">IFERROR(__xludf.DUMMYFUNCTION("""COMPUTED_VALUE"""),"রংপুর")</f>
        <v>রংপুর</v>
      </c>
      <c r="D243" s="25" t="str">
        <f ca="1">IFERROR(__xludf.DUMMYFUNCTION("""COMPUTED_VALUE"""),"রংপুর")</f>
        <v>রংপুর</v>
      </c>
      <c r="E243" s="25" t="str">
        <f ca="1">IFERROR(__xludf.DUMMYFUNCTION("""COMPUTED_VALUE"""),"কুড়িগ্রাম")</f>
        <v>কুড়িগ্রাম</v>
      </c>
      <c r="F243" s="25" t="str">
        <f ca="1">IFERROR(__xludf.DUMMYFUNCTION("""COMPUTED_VALUE"""),"চর রাজিবপুর")</f>
        <v>চর রাজিবপুর</v>
      </c>
      <c r="G243" s="25"/>
      <c r="H243" s="25"/>
      <c r="I243" s="25"/>
      <c r="J243" s="25" t="str">
        <f ca="1">IFERROR(__xludf.DUMMYFUNCTION("""COMPUTED_VALUE"""),"প্রণোদনা")</f>
        <v>প্রণোদনা</v>
      </c>
      <c r="K243" s="25"/>
      <c r="L243" s="25">
        <f ca="1">IFERROR(__xludf.DUMMYFUNCTION("""COMPUTED_VALUE"""),25.496947)</f>
        <v>25.496946999999999</v>
      </c>
      <c r="M243" s="25">
        <f ca="1">IFERROR(__xludf.DUMMYFUNCTION("""COMPUTED_VALUE"""),89.779314)</f>
        <v>89.779313999999999</v>
      </c>
      <c r="N243" s="25"/>
      <c r="O24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3" s="25" t="str">
        <f ca="1">IFERROR(__xludf.DUMMYFUNCTION("""COMPUTED_VALUE"""),"ফলদ, বনজ")</f>
        <v>ফলদ, বনজ</v>
      </c>
      <c r="Q243" s="25">
        <f ca="1">IFERROR(__xludf.DUMMYFUNCTION("""COMPUTED_VALUE"""),5)</f>
        <v>5</v>
      </c>
      <c r="R243" s="25"/>
      <c r="S243" s="25"/>
      <c r="T243" s="25"/>
      <c r="U243" s="25" t="str">
        <f ca="1">IFERROR(__xludf.DUMMYFUNCTION("""COMPUTED_VALUE"""),"মোঃ আবু সামা")</f>
        <v>মোঃ আবু সামা</v>
      </c>
      <c r="V243" s="25" t="str">
        <f ca="1">IFERROR(__xludf.DUMMYFUNCTION("""COMPUTED_VALUE"""),"০১৯২২৫২৭৮৪০")</f>
        <v>০১৯২২৫২৭৮৪০</v>
      </c>
      <c r="W243" s="25" t="str">
        <f ca="1">IFERROR(__xludf.DUMMYFUNCTION("""COMPUTED_VALUE"""),"মোঃ আনোয়ার হোসেন
")</f>
        <v xml:space="preserve">মোঃ আনোয়ার হোসেন
</v>
      </c>
      <c r="X243" s="25" t="str">
        <f ca="1">IFERROR(__xludf.DUMMYFUNCTION("""COMPUTED_VALUE"""),"০১৭১৮১৬৫৪৯১")</f>
        <v>০১৭১৮১৬৫৪৯১</v>
      </c>
      <c r="Y243" s="25"/>
      <c r="Z243" s="25"/>
      <c r="AA243" s="25"/>
      <c r="AB243" s="25"/>
      <c r="AC243" s="25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spans="1:40" ht="15" customHeight="1" x14ac:dyDescent="0.15">
      <c r="A244" s="21"/>
      <c r="B244" s="21"/>
      <c r="C244" s="21" t="str">
        <f ca="1">IFERROR(__xludf.DUMMYFUNCTION("""COMPUTED_VALUE"""),"রংপুর")</f>
        <v>রংপুর</v>
      </c>
      <c r="D244" s="21" t="str">
        <f ca="1">IFERROR(__xludf.DUMMYFUNCTION("""COMPUTED_VALUE"""),"রংপুর")</f>
        <v>রংপুর</v>
      </c>
      <c r="E244" s="21" t="str">
        <f ca="1">IFERROR(__xludf.DUMMYFUNCTION("""COMPUTED_VALUE"""),"কুড়িগ্রাম")</f>
        <v>কুড়িগ্রাম</v>
      </c>
      <c r="F244" s="21" t="str">
        <f ca="1">IFERROR(__xludf.DUMMYFUNCTION("""COMPUTED_VALUE"""),"চর রাজিবপুর")</f>
        <v>চর রাজিবপুর</v>
      </c>
      <c r="G244" s="21"/>
      <c r="H244" s="21"/>
      <c r="I244" s="21"/>
      <c r="J244" s="21" t="str">
        <f ca="1">IFERROR(__xludf.DUMMYFUNCTION("""COMPUTED_VALUE"""),"প্রণোদনা")</f>
        <v>প্রণোদনা</v>
      </c>
      <c r="K244" s="21"/>
      <c r="L244" s="21">
        <f ca="1">IFERROR(__xludf.DUMMYFUNCTION("""COMPUTED_VALUE"""),25.496424)</f>
        <v>25.496424000000001</v>
      </c>
      <c r="M244" s="21">
        <f ca="1">IFERROR(__xludf.DUMMYFUNCTION("""COMPUTED_VALUE"""),89.773006)</f>
        <v>89.773005999999995</v>
      </c>
      <c r="N244" s="21"/>
      <c r="O24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4" s="21" t="str">
        <f ca="1">IFERROR(__xludf.DUMMYFUNCTION("""COMPUTED_VALUE"""),"ফলদ, বনজ")</f>
        <v>ফলদ, বনজ</v>
      </c>
      <c r="Q244" s="21">
        <f ca="1">IFERROR(__xludf.DUMMYFUNCTION("""COMPUTED_VALUE"""),5)</f>
        <v>5</v>
      </c>
      <c r="R244" s="21"/>
      <c r="S244" s="21"/>
      <c r="T244" s="21"/>
      <c r="U244" s="21" t="str">
        <f ca="1">IFERROR(__xludf.DUMMYFUNCTION("""COMPUTED_VALUE"""),"মোঃ হাসান মিয়া")</f>
        <v>মোঃ হাসান মিয়া</v>
      </c>
      <c r="V244" s="21" t="str">
        <f ca="1">IFERROR(__xludf.DUMMYFUNCTION("""COMPUTED_VALUE"""),"০১৯৪৮৪৫৩৭৭৫")</f>
        <v>০১৯৪৮৪৫৩৭৭৫</v>
      </c>
      <c r="W244" s="21" t="str">
        <f ca="1">IFERROR(__xludf.DUMMYFUNCTION("""COMPUTED_VALUE"""),"মোঃ আনোয়ার হোসেন
")</f>
        <v xml:space="preserve">মোঃ আনোয়ার হোসেন
</v>
      </c>
      <c r="X244" s="21" t="str">
        <f ca="1">IFERROR(__xludf.DUMMYFUNCTION("""COMPUTED_VALUE"""),"০১৭১৮১৬৫৪৯১")</f>
        <v>০১৭১৮১৬৫৪৯১</v>
      </c>
      <c r="Y244" s="21"/>
      <c r="Z244" s="21"/>
      <c r="AA244" s="21"/>
      <c r="AB244" s="21"/>
      <c r="AC244" s="21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</row>
    <row r="245" spans="1:40" ht="15" customHeight="1" x14ac:dyDescent="0.15">
      <c r="A245" s="25"/>
      <c r="B245" s="25"/>
      <c r="C245" s="25" t="str">
        <f ca="1">IFERROR(__xludf.DUMMYFUNCTION("""COMPUTED_VALUE"""),"রংপুর")</f>
        <v>রংপুর</v>
      </c>
      <c r="D245" s="25" t="str">
        <f ca="1">IFERROR(__xludf.DUMMYFUNCTION("""COMPUTED_VALUE"""),"রংপুর")</f>
        <v>রংপুর</v>
      </c>
      <c r="E245" s="25" t="str">
        <f ca="1">IFERROR(__xludf.DUMMYFUNCTION("""COMPUTED_VALUE"""),"কুড়িগ্রাম")</f>
        <v>কুড়িগ্রাম</v>
      </c>
      <c r="F245" s="25" t="str">
        <f ca="1">IFERROR(__xludf.DUMMYFUNCTION("""COMPUTED_VALUE"""),"চর রাজিবপুর")</f>
        <v>চর রাজিবপুর</v>
      </c>
      <c r="G245" s="25"/>
      <c r="H245" s="25"/>
      <c r="I245" s="25"/>
      <c r="J245" s="25" t="str">
        <f ca="1">IFERROR(__xludf.DUMMYFUNCTION("""COMPUTED_VALUE"""),"প্রণোদনা")</f>
        <v>প্রণোদনা</v>
      </c>
      <c r="K245" s="25"/>
      <c r="L245" s="25">
        <f ca="1">IFERROR(__xludf.DUMMYFUNCTION("""COMPUTED_VALUE"""),25.497345)</f>
        <v>25.497344999999999</v>
      </c>
      <c r="M245" s="25">
        <f ca="1">IFERROR(__xludf.DUMMYFUNCTION("""COMPUTED_VALUE"""),89.778231)</f>
        <v>89.778231000000005</v>
      </c>
      <c r="N245" s="25"/>
      <c r="O24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5" s="25" t="str">
        <f ca="1">IFERROR(__xludf.DUMMYFUNCTION("""COMPUTED_VALUE"""),"ফলদ, বনজ")</f>
        <v>ফলদ, বনজ</v>
      </c>
      <c r="Q245" s="25">
        <f ca="1">IFERROR(__xludf.DUMMYFUNCTION("""COMPUTED_VALUE"""),5)</f>
        <v>5</v>
      </c>
      <c r="R245" s="25"/>
      <c r="S245" s="25"/>
      <c r="T245" s="25"/>
      <c r="U245" s="25" t="str">
        <f ca="1">IFERROR(__xludf.DUMMYFUNCTION("""COMPUTED_VALUE"""),"মোছাঃ দেলোয়ারা খাতুন")</f>
        <v>মোছাঃ দেলোয়ারা খাতুন</v>
      </c>
      <c r="V245" s="25" t="str">
        <f ca="1">IFERROR(__xludf.DUMMYFUNCTION("""COMPUTED_VALUE"""),"০১৯৩৮১০৩২১৫")</f>
        <v>০১৯৩৮১০৩২১৫</v>
      </c>
      <c r="W245" s="25" t="str">
        <f ca="1">IFERROR(__xludf.DUMMYFUNCTION("""COMPUTED_VALUE"""),"মোঃ আনোয়ার হোসেন
")</f>
        <v xml:space="preserve">মোঃ আনোয়ার হোসেন
</v>
      </c>
      <c r="X245" s="25" t="str">
        <f ca="1">IFERROR(__xludf.DUMMYFUNCTION("""COMPUTED_VALUE"""),"০১৭১৮১৬৫৪৯১")</f>
        <v>০১৭১৮১৬৫৪৯১</v>
      </c>
      <c r="Y245" s="25"/>
      <c r="Z245" s="25"/>
      <c r="AA245" s="25"/>
      <c r="AB245" s="25"/>
      <c r="AC245" s="25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spans="1:40" ht="15" customHeight="1" x14ac:dyDescent="0.15">
      <c r="A246" s="21"/>
      <c r="B246" s="21"/>
      <c r="C246" s="21" t="str">
        <f ca="1">IFERROR(__xludf.DUMMYFUNCTION("""COMPUTED_VALUE"""),"রংপুর")</f>
        <v>রংপুর</v>
      </c>
      <c r="D246" s="21" t="str">
        <f ca="1">IFERROR(__xludf.DUMMYFUNCTION("""COMPUTED_VALUE"""),"রংপুর")</f>
        <v>রংপুর</v>
      </c>
      <c r="E246" s="21" t="str">
        <f ca="1">IFERROR(__xludf.DUMMYFUNCTION("""COMPUTED_VALUE"""),"কুড়িগ্রাম")</f>
        <v>কুড়িগ্রাম</v>
      </c>
      <c r="F246" s="21" t="str">
        <f ca="1">IFERROR(__xludf.DUMMYFUNCTION("""COMPUTED_VALUE"""),"চর রাজিবপুর")</f>
        <v>চর রাজিবপুর</v>
      </c>
      <c r="G246" s="21"/>
      <c r="H246" s="21"/>
      <c r="I246" s="21"/>
      <c r="J246" s="21" t="str">
        <f ca="1">IFERROR(__xludf.DUMMYFUNCTION("""COMPUTED_VALUE"""),"প্রণোদনা")</f>
        <v>প্রণোদনা</v>
      </c>
      <c r="K246" s="21"/>
      <c r="L246" s="21">
        <f ca="1">IFERROR(__xludf.DUMMYFUNCTION("""COMPUTED_VALUE"""),25.498034)</f>
        <v>25.498034000000001</v>
      </c>
      <c r="M246" s="21">
        <f ca="1">IFERROR(__xludf.DUMMYFUNCTION("""COMPUTED_VALUE"""),89.780624)</f>
        <v>89.780624000000003</v>
      </c>
      <c r="N246" s="21"/>
      <c r="O24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6" s="21" t="str">
        <f ca="1">IFERROR(__xludf.DUMMYFUNCTION("""COMPUTED_VALUE"""),"ফলদ, বনজ")</f>
        <v>ফলদ, বনজ</v>
      </c>
      <c r="Q246" s="21">
        <f ca="1">IFERROR(__xludf.DUMMYFUNCTION("""COMPUTED_VALUE"""),5)</f>
        <v>5</v>
      </c>
      <c r="R246" s="21"/>
      <c r="S246" s="21"/>
      <c r="T246" s="21"/>
      <c r="U246" s="21" t="str">
        <f ca="1">IFERROR(__xludf.DUMMYFUNCTION("""COMPUTED_VALUE"""),"মোঃ মাজেদা খাতুন")</f>
        <v>মোঃ মাজেদা খাতুন</v>
      </c>
      <c r="V246" s="21" t="str">
        <f ca="1">IFERROR(__xludf.DUMMYFUNCTION("""COMPUTED_VALUE"""),"০১৯৬৮১৮৬৬৮৯")</f>
        <v>০১৯৬৮১৮৬৬৮৯</v>
      </c>
      <c r="W246" s="21" t="str">
        <f ca="1">IFERROR(__xludf.DUMMYFUNCTION("""COMPUTED_VALUE"""),"মোঃ আনোয়ার হোসেন
")</f>
        <v xml:space="preserve">মোঃ আনোয়ার হোসেন
</v>
      </c>
      <c r="X246" s="21" t="str">
        <f ca="1">IFERROR(__xludf.DUMMYFUNCTION("""COMPUTED_VALUE"""),"০১৭১৮১৬৫৪৯১")</f>
        <v>০১৭১৮১৬৫৪৯১</v>
      </c>
      <c r="Y246" s="21"/>
      <c r="Z246" s="21"/>
      <c r="AA246" s="21"/>
      <c r="AB246" s="21"/>
      <c r="AC246" s="21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</row>
    <row r="247" spans="1:40" ht="15" customHeight="1" x14ac:dyDescent="0.15">
      <c r="A247" s="25"/>
      <c r="B247" s="25"/>
      <c r="C247" s="25" t="str">
        <f ca="1">IFERROR(__xludf.DUMMYFUNCTION("""COMPUTED_VALUE"""),"রংপুর")</f>
        <v>রংপুর</v>
      </c>
      <c r="D247" s="25" t="str">
        <f ca="1">IFERROR(__xludf.DUMMYFUNCTION("""COMPUTED_VALUE"""),"রংপুর")</f>
        <v>রংপুর</v>
      </c>
      <c r="E247" s="25" t="str">
        <f ca="1">IFERROR(__xludf.DUMMYFUNCTION("""COMPUTED_VALUE"""),"কুড়িগ্রাম")</f>
        <v>কুড়িগ্রাম</v>
      </c>
      <c r="F247" s="25" t="str">
        <f ca="1">IFERROR(__xludf.DUMMYFUNCTION("""COMPUTED_VALUE"""),"চর রাজিবপুর")</f>
        <v>চর রাজিবপুর</v>
      </c>
      <c r="G247" s="25"/>
      <c r="H247" s="25"/>
      <c r="I247" s="25"/>
      <c r="J247" s="25" t="str">
        <f ca="1">IFERROR(__xludf.DUMMYFUNCTION("""COMPUTED_VALUE"""),"প্রণোদনা")</f>
        <v>প্রণোদনা</v>
      </c>
      <c r="K247" s="25"/>
      <c r="L247" s="25">
        <f ca="1">IFERROR(__xludf.DUMMYFUNCTION("""COMPUTED_VALUE"""),25.497393)</f>
        <v>25.497392999999999</v>
      </c>
      <c r="M247" s="25">
        <f ca="1">IFERROR(__xludf.DUMMYFUNCTION("""COMPUTED_VALUE"""),89.77817)</f>
        <v>89.778170000000003</v>
      </c>
      <c r="N247" s="25"/>
      <c r="O24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7" s="25" t="str">
        <f ca="1">IFERROR(__xludf.DUMMYFUNCTION("""COMPUTED_VALUE"""),"ফলদ, বনজ")</f>
        <v>ফলদ, বনজ</v>
      </c>
      <c r="Q247" s="25">
        <f ca="1">IFERROR(__xludf.DUMMYFUNCTION("""COMPUTED_VALUE"""),5)</f>
        <v>5</v>
      </c>
      <c r="R247" s="25"/>
      <c r="S247" s="25"/>
      <c r="T247" s="25"/>
      <c r="U247" s="25" t="str">
        <f ca="1">IFERROR(__xludf.DUMMYFUNCTION("""COMPUTED_VALUE"""),"মোছাঃ ছাহেরা খাতুন")</f>
        <v>মোছাঃ ছাহেরা খাতুন</v>
      </c>
      <c r="V247" s="25" t="str">
        <f ca="1">IFERROR(__xludf.DUMMYFUNCTION("""COMPUTED_VALUE"""),"০১৯২৭০৯৫৭৪৩")</f>
        <v>০১৯২৭০৯৫৭৪৩</v>
      </c>
      <c r="W247" s="25" t="str">
        <f ca="1">IFERROR(__xludf.DUMMYFUNCTION("""COMPUTED_VALUE"""),"মোঃ আনোয়ার হোসেন
")</f>
        <v xml:space="preserve">মোঃ আনোয়ার হোসেন
</v>
      </c>
      <c r="X247" s="25" t="str">
        <f ca="1">IFERROR(__xludf.DUMMYFUNCTION("""COMPUTED_VALUE"""),"০১৭১৮১৬৫৪৯১")</f>
        <v>০১৭১৮১৬৫৪৯১</v>
      </c>
      <c r="Y247" s="25"/>
      <c r="Z247" s="25"/>
      <c r="AA247" s="25"/>
      <c r="AB247" s="25"/>
      <c r="AC247" s="25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spans="1:40" ht="15" customHeight="1" x14ac:dyDescent="0.15">
      <c r="A248" s="21"/>
      <c r="B248" s="21"/>
      <c r="C248" s="21" t="str">
        <f ca="1">IFERROR(__xludf.DUMMYFUNCTION("""COMPUTED_VALUE"""),"রংপুর")</f>
        <v>রংপুর</v>
      </c>
      <c r="D248" s="21" t="str">
        <f ca="1">IFERROR(__xludf.DUMMYFUNCTION("""COMPUTED_VALUE"""),"রংপুর")</f>
        <v>রংপুর</v>
      </c>
      <c r="E248" s="21" t="str">
        <f ca="1">IFERROR(__xludf.DUMMYFUNCTION("""COMPUTED_VALUE"""),"কুড়িগ্রাম")</f>
        <v>কুড়িগ্রাম</v>
      </c>
      <c r="F248" s="21" t="str">
        <f ca="1">IFERROR(__xludf.DUMMYFUNCTION("""COMPUTED_VALUE"""),"চর রাজিবপুর")</f>
        <v>চর রাজিবপুর</v>
      </c>
      <c r="G248" s="21"/>
      <c r="H248" s="21"/>
      <c r="I248" s="21"/>
      <c r="J248" s="21" t="str">
        <f ca="1">IFERROR(__xludf.DUMMYFUNCTION("""COMPUTED_VALUE"""),"প্রণোদনা")</f>
        <v>প্রণোদনা</v>
      </c>
      <c r="K248" s="21"/>
      <c r="L248" s="21">
        <f ca="1">IFERROR(__xludf.DUMMYFUNCTION("""COMPUTED_VALUE"""),25.496565)</f>
        <v>25.496565</v>
      </c>
      <c r="M248" s="21">
        <f ca="1">IFERROR(__xludf.DUMMYFUNCTION("""COMPUTED_VALUE"""),89.778095)</f>
        <v>89.778094999999993</v>
      </c>
      <c r="N248" s="21"/>
      <c r="O24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8" s="21" t="str">
        <f ca="1">IFERROR(__xludf.DUMMYFUNCTION("""COMPUTED_VALUE"""),"ফলদ, বনজ")</f>
        <v>ফলদ, বনজ</v>
      </c>
      <c r="Q248" s="21">
        <f ca="1">IFERROR(__xludf.DUMMYFUNCTION("""COMPUTED_VALUE"""),5)</f>
        <v>5</v>
      </c>
      <c r="R248" s="21"/>
      <c r="S248" s="21"/>
      <c r="T248" s="21"/>
      <c r="U248" s="21" t="str">
        <f ca="1">IFERROR(__xludf.DUMMYFUNCTION("""COMPUTED_VALUE"""),"মোঃ আঃ কাদের")</f>
        <v>মোঃ আঃ কাদের</v>
      </c>
      <c r="V248" s="21" t="str">
        <f ca="1">IFERROR(__xludf.DUMMYFUNCTION("""COMPUTED_VALUE"""),"০১৯৬৮১৯১৫১৩")</f>
        <v>০১৯৬৮১৯১৫১৩</v>
      </c>
      <c r="W248" s="21" t="str">
        <f ca="1">IFERROR(__xludf.DUMMYFUNCTION("""COMPUTED_VALUE"""),"মোঃ আনোয়ার হোসেন
")</f>
        <v xml:space="preserve">মোঃ আনোয়ার হোসেন
</v>
      </c>
      <c r="X248" s="21" t="str">
        <f ca="1">IFERROR(__xludf.DUMMYFUNCTION("""COMPUTED_VALUE"""),"০১৭১৮১৬৫৪৯১")</f>
        <v>০১৭১৮১৬৫৪৯১</v>
      </c>
      <c r="Y248" s="21"/>
      <c r="Z248" s="21"/>
      <c r="AA248" s="21"/>
      <c r="AB248" s="21"/>
      <c r="AC248" s="21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</row>
    <row r="249" spans="1:40" ht="15" customHeight="1" x14ac:dyDescent="0.15">
      <c r="A249" s="25"/>
      <c r="B249" s="25"/>
      <c r="C249" s="25" t="str">
        <f ca="1">IFERROR(__xludf.DUMMYFUNCTION("""COMPUTED_VALUE"""),"রংপুর")</f>
        <v>রংপুর</v>
      </c>
      <c r="D249" s="25" t="str">
        <f ca="1">IFERROR(__xludf.DUMMYFUNCTION("""COMPUTED_VALUE"""),"রংপুর")</f>
        <v>রংপুর</v>
      </c>
      <c r="E249" s="25" t="str">
        <f ca="1">IFERROR(__xludf.DUMMYFUNCTION("""COMPUTED_VALUE"""),"কুড়িগ্রাম")</f>
        <v>কুড়িগ্রাম</v>
      </c>
      <c r="F249" s="25" t="str">
        <f ca="1">IFERROR(__xludf.DUMMYFUNCTION("""COMPUTED_VALUE"""),"চর রাজিবপুর")</f>
        <v>চর রাজিবপুর</v>
      </c>
      <c r="G249" s="25"/>
      <c r="H249" s="25"/>
      <c r="I249" s="25"/>
      <c r="J249" s="25" t="str">
        <f ca="1">IFERROR(__xludf.DUMMYFUNCTION("""COMPUTED_VALUE"""),"প্রণোদনা")</f>
        <v>প্রণোদনা</v>
      </c>
      <c r="K249" s="25"/>
      <c r="L249" s="25">
        <f ca="1">IFERROR(__xludf.DUMMYFUNCTION("""COMPUTED_VALUE"""),25.495823)</f>
        <v>25.495823000000001</v>
      </c>
      <c r="M249" s="25">
        <f ca="1">IFERROR(__xludf.DUMMYFUNCTION("""COMPUTED_VALUE"""),89.775805)</f>
        <v>89.775805000000005</v>
      </c>
      <c r="N249" s="25"/>
      <c r="O24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9" s="25" t="str">
        <f ca="1">IFERROR(__xludf.DUMMYFUNCTION("""COMPUTED_VALUE"""),"ফলদ, বনজ")</f>
        <v>ফলদ, বনজ</v>
      </c>
      <c r="Q249" s="25">
        <f ca="1">IFERROR(__xludf.DUMMYFUNCTION("""COMPUTED_VALUE"""),5)</f>
        <v>5</v>
      </c>
      <c r="R249" s="25"/>
      <c r="S249" s="25"/>
      <c r="T249" s="25"/>
      <c r="U249" s="25" t="str">
        <f ca="1">IFERROR(__xludf.DUMMYFUNCTION("""COMPUTED_VALUE"""),"মোঃ সোহানুর মিয়া")</f>
        <v>মোঃ সোহানুর মিয়া</v>
      </c>
      <c r="V249" s="25" t="str">
        <f ca="1">IFERROR(__xludf.DUMMYFUNCTION("""COMPUTED_VALUE"""),"০১৮১৬৯৪৪১০৯")</f>
        <v>০১৮১৬৯৪৪১০৯</v>
      </c>
      <c r="W249" s="25" t="str">
        <f ca="1">IFERROR(__xludf.DUMMYFUNCTION("""COMPUTED_VALUE"""),"মোঃ আনোয়ার হোসেন
")</f>
        <v xml:space="preserve">মোঃ আনোয়ার হোসেন
</v>
      </c>
      <c r="X249" s="25" t="str">
        <f ca="1">IFERROR(__xludf.DUMMYFUNCTION("""COMPUTED_VALUE"""),"০১৭১৮১৬৫৪৯১")</f>
        <v>০১৭১৮১৬৫৪৯১</v>
      </c>
      <c r="Y249" s="25"/>
      <c r="Z249" s="25"/>
      <c r="AA249" s="25"/>
      <c r="AB249" s="25"/>
      <c r="AC249" s="25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spans="1:40" ht="15" customHeight="1" x14ac:dyDescent="0.15">
      <c r="A250" s="21"/>
      <c r="B250" s="21"/>
      <c r="C250" s="21" t="str">
        <f ca="1">IFERROR(__xludf.DUMMYFUNCTION("""COMPUTED_VALUE"""),"রংপুর")</f>
        <v>রংপুর</v>
      </c>
      <c r="D250" s="21" t="str">
        <f ca="1">IFERROR(__xludf.DUMMYFUNCTION("""COMPUTED_VALUE"""),"রংপুর")</f>
        <v>রংপুর</v>
      </c>
      <c r="E250" s="21" t="str">
        <f ca="1">IFERROR(__xludf.DUMMYFUNCTION("""COMPUTED_VALUE"""),"কুড়িগ্রাম")</f>
        <v>কুড়িগ্রাম</v>
      </c>
      <c r="F250" s="21" t="str">
        <f ca="1">IFERROR(__xludf.DUMMYFUNCTION("""COMPUTED_VALUE"""),"চর রাজিবপুর")</f>
        <v>চর রাজিবপুর</v>
      </c>
      <c r="G250" s="21"/>
      <c r="H250" s="21"/>
      <c r="I250" s="21"/>
      <c r="J250" s="21" t="str">
        <f ca="1">IFERROR(__xludf.DUMMYFUNCTION("""COMPUTED_VALUE"""),"প্রণোদনা")</f>
        <v>প্রণোদনা</v>
      </c>
      <c r="K250" s="21"/>
      <c r="L250" s="21">
        <f ca="1">IFERROR(__xludf.DUMMYFUNCTION("""COMPUTED_VALUE"""),25.50488)</f>
        <v>25.50488</v>
      </c>
      <c r="M250" s="21">
        <f ca="1">IFERROR(__xludf.DUMMYFUNCTION("""COMPUTED_VALUE"""),89.77825)</f>
        <v>89.77825</v>
      </c>
      <c r="N250" s="21"/>
      <c r="O25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0" s="21" t="str">
        <f ca="1">IFERROR(__xludf.DUMMYFUNCTION("""COMPUTED_VALUE"""),"ফলদ, বনজ")</f>
        <v>ফলদ, বনজ</v>
      </c>
      <c r="Q250" s="21">
        <f ca="1">IFERROR(__xludf.DUMMYFUNCTION("""COMPUTED_VALUE"""),5)</f>
        <v>5</v>
      </c>
      <c r="R250" s="21"/>
      <c r="S250" s="21"/>
      <c r="T250" s="21"/>
      <c r="U250" s="21" t="str">
        <f ca="1">IFERROR(__xludf.DUMMYFUNCTION("""COMPUTED_VALUE"""),"মোঃ জায়েদুল রহমান")</f>
        <v>মোঃ জায়েদুল রহমান</v>
      </c>
      <c r="V250" s="21" t="str">
        <f ca="1">IFERROR(__xludf.DUMMYFUNCTION("""COMPUTED_VALUE"""),"০১৯৮৮৮৩২২১৩")</f>
        <v>০১৯৮৮৮৩২২১৩</v>
      </c>
      <c r="W250" s="21" t="str">
        <f ca="1">IFERROR(__xludf.DUMMYFUNCTION("""COMPUTED_VALUE"""),"মোঃ আনোয়ার হোসেন
")</f>
        <v xml:space="preserve">মোঃ আনোয়ার হোসেন
</v>
      </c>
      <c r="X250" s="21" t="str">
        <f ca="1">IFERROR(__xludf.DUMMYFUNCTION("""COMPUTED_VALUE"""),"০১৭১৮১৬৫৪৯১")</f>
        <v>০১৭১৮১৬৫৪৯১</v>
      </c>
      <c r="Y250" s="21"/>
      <c r="Z250" s="21"/>
      <c r="AA250" s="21"/>
      <c r="AB250" s="21"/>
      <c r="AC250" s="21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 spans="1:40" ht="15" customHeight="1" x14ac:dyDescent="0.15">
      <c r="A251" s="25"/>
      <c r="B251" s="25"/>
      <c r="C251" s="25" t="str">
        <f ca="1">IFERROR(__xludf.DUMMYFUNCTION("""COMPUTED_VALUE"""),"রংপুর")</f>
        <v>রংপুর</v>
      </c>
      <c r="D251" s="25" t="str">
        <f ca="1">IFERROR(__xludf.DUMMYFUNCTION("""COMPUTED_VALUE"""),"রংপুর")</f>
        <v>রংপুর</v>
      </c>
      <c r="E251" s="25" t="str">
        <f ca="1">IFERROR(__xludf.DUMMYFUNCTION("""COMPUTED_VALUE"""),"কুড়িগ্রাম")</f>
        <v>কুড়িগ্রাম</v>
      </c>
      <c r="F251" s="25" t="str">
        <f ca="1">IFERROR(__xludf.DUMMYFUNCTION("""COMPUTED_VALUE"""),"চর রাজিবপুর")</f>
        <v>চর রাজিবপুর</v>
      </c>
      <c r="G251" s="25"/>
      <c r="H251" s="25"/>
      <c r="I251" s="25"/>
      <c r="J251" s="25" t="str">
        <f ca="1">IFERROR(__xludf.DUMMYFUNCTION("""COMPUTED_VALUE"""),"প্রণোদনা")</f>
        <v>প্রণোদনা</v>
      </c>
      <c r="K251" s="25"/>
      <c r="L251" s="25">
        <f ca="1">IFERROR(__xludf.DUMMYFUNCTION("""COMPUTED_VALUE"""),25.50766)</f>
        <v>25.507660000000001</v>
      </c>
      <c r="M251" s="25">
        <f ca="1">IFERROR(__xludf.DUMMYFUNCTION("""COMPUTED_VALUE"""),89.78096)</f>
        <v>89.780959999999993</v>
      </c>
      <c r="N251" s="25"/>
      <c r="O25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1" s="25" t="str">
        <f ca="1">IFERROR(__xludf.DUMMYFUNCTION("""COMPUTED_VALUE"""),"ফলদ, বনজ")</f>
        <v>ফলদ, বনজ</v>
      </c>
      <c r="Q251" s="25">
        <f ca="1">IFERROR(__xludf.DUMMYFUNCTION("""COMPUTED_VALUE"""),5)</f>
        <v>5</v>
      </c>
      <c r="R251" s="25"/>
      <c r="S251" s="25"/>
      <c r="T251" s="25"/>
      <c r="U251" s="25" t="str">
        <f ca="1">IFERROR(__xludf.DUMMYFUNCTION("""COMPUTED_VALUE"""),"মোঃ ইনছান আলী")</f>
        <v>মোঃ ইনছান আলী</v>
      </c>
      <c r="V251" s="25" t="str">
        <f ca="1">IFERROR(__xludf.DUMMYFUNCTION("""COMPUTED_VALUE"""),"০১৯০৯০১৯৯০৪")</f>
        <v>০১৯০৯০১৯৯০৪</v>
      </c>
      <c r="W251" s="25" t="str">
        <f ca="1">IFERROR(__xludf.DUMMYFUNCTION("""COMPUTED_VALUE"""),"মোঃ আনোয়ার হোসেন
")</f>
        <v xml:space="preserve">মোঃ আনোয়ার হোসেন
</v>
      </c>
      <c r="X251" s="25" t="str">
        <f ca="1">IFERROR(__xludf.DUMMYFUNCTION("""COMPUTED_VALUE"""),"০১৭১৮১৬৫৪৯১")</f>
        <v>০১৭১৮১৬৫৪৯১</v>
      </c>
      <c r="Y251" s="25"/>
      <c r="Z251" s="25"/>
      <c r="AA251" s="25"/>
      <c r="AB251" s="25"/>
      <c r="AC251" s="25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spans="1:40" ht="15" customHeight="1" x14ac:dyDescent="0.15">
      <c r="A252" s="21"/>
      <c r="B252" s="21"/>
      <c r="C252" s="21" t="str">
        <f ca="1">IFERROR(__xludf.DUMMYFUNCTION("""COMPUTED_VALUE"""),"রংপুর")</f>
        <v>রংপুর</v>
      </c>
      <c r="D252" s="21" t="str">
        <f ca="1">IFERROR(__xludf.DUMMYFUNCTION("""COMPUTED_VALUE"""),"রংপুর")</f>
        <v>রংপুর</v>
      </c>
      <c r="E252" s="21" t="str">
        <f ca="1">IFERROR(__xludf.DUMMYFUNCTION("""COMPUTED_VALUE"""),"কুড়িগ্রাম")</f>
        <v>কুড়িগ্রাম</v>
      </c>
      <c r="F252" s="21" t="str">
        <f ca="1">IFERROR(__xludf.DUMMYFUNCTION("""COMPUTED_VALUE"""),"চর রাজিবপুর")</f>
        <v>চর রাজিবপুর</v>
      </c>
      <c r="G252" s="21"/>
      <c r="H252" s="21"/>
      <c r="I252" s="21"/>
      <c r="J252" s="21" t="str">
        <f ca="1">IFERROR(__xludf.DUMMYFUNCTION("""COMPUTED_VALUE"""),"প্রণোদনা")</f>
        <v>প্রণোদনা</v>
      </c>
      <c r="K252" s="21"/>
      <c r="L252" s="21">
        <f ca="1">IFERROR(__xludf.DUMMYFUNCTION("""COMPUTED_VALUE"""),2550778)</f>
        <v>2550778</v>
      </c>
      <c r="M252" s="21">
        <f ca="1">IFERROR(__xludf.DUMMYFUNCTION("""COMPUTED_VALUE"""),89.7821)</f>
        <v>89.7821</v>
      </c>
      <c r="N252" s="21"/>
      <c r="O25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2" s="21" t="str">
        <f ca="1">IFERROR(__xludf.DUMMYFUNCTION("""COMPUTED_VALUE"""),"ফলদ, বনজ")</f>
        <v>ফলদ, বনজ</v>
      </c>
      <c r="Q252" s="21">
        <f ca="1">IFERROR(__xludf.DUMMYFUNCTION("""COMPUTED_VALUE"""),5)</f>
        <v>5</v>
      </c>
      <c r="R252" s="21"/>
      <c r="S252" s="21"/>
      <c r="T252" s="21"/>
      <c r="U252" s="21" t="str">
        <f ca="1">IFERROR(__xludf.DUMMYFUNCTION("""COMPUTED_VALUE"""),"মোঃ দুদু মিয়া")</f>
        <v>মোঃ দুদু মিয়া</v>
      </c>
      <c r="V252" s="21" t="str">
        <f ca="1">IFERROR(__xludf.DUMMYFUNCTION("""COMPUTED_VALUE"""),"#N/A")</f>
        <v>#N/A</v>
      </c>
      <c r="W252" s="21" t="str">
        <f ca="1">IFERROR(__xludf.DUMMYFUNCTION("""COMPUTED_VALUE"""),"মোঃ আনোয়ার হোসেন
")</f>
        <v xml:space="preserve">মোঃ আনোয়ার হোসেন
</v>
      </c>
      <c r="X252" s="21" t="str">
        <f ca="1">IFERROR(__xludf.DUMMYFUNCTION("""COMPUTED_VALUE"""),"০১৭১৮১৬৫৪৯১")</f>
        <v>০১৭১৮১৬৫৪৯১</v>
      </c>
      <c r="Y252" s="21"/>
      <c r="Z252" s="21"/>
      <c r="AA252" s="21"/>
      <c r="AB252" s="21"/>
      <c r="AC252" s="21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 spans="1:40" ht="15" customHeight="1" x14ac:dyDescent="0.15">
      <c r="A253" s="25"/>
      <c r="B253" s="25"/>
      <c r="C253" s="25" t="str">
        <f ca="1">IFERROR(__xludf.DUMMYFUNCTION("""COMPUTED_VALUE"""),"রংপুর")</f>
        <v>রংপুর</v>
      </c>
      <c r="D253" s="25" t="str">
        <f ca="1">IFERROR(__xludf.DUMMYFUNCTION("""COMPUTED_VALUE"""),"রংপুর")</f>
        <v>রংপুর</v>
      </c>
      <c r="E253" s="25" t="str">
        <f ca="1">IFERROR(__xludf.DUMMYFUNCTION("""COMPUTED_VALUE"""),"কুড়িগ্রাম")</f>
        <v>কুড়িগ্রাম</v>
      </c>
      <c r="F253" s="25" t="str">
        <f ca="1">IFERROR(__xludf.DUMMYFUNCTION("""COMPUTED_VALUE"""),"চর রাজিবপুর")</f>
        <v>চর রাজিবপুর</v>
      </c>
      <c r="G253" s="25"/>
      <c r="H253" s="25"/>
      <c r="I253" s="25"/>
      <c r="J253" s="25" t="str">
        <f ca="1">IFERROR(__xludf.DUMMYFUNCTION("""COMPUTED_VALUE"""),"প্রণোদনা")</f>
        <v>প্রণোদনা</v>
      </c>
      <c r="K253" s="25"/>
      <c r="L253" s="25">
        <f ca="1">IFERROR(__xludf.DUMMYFUNCTION("""COMPUTED_VALUE"""),25.50996)</f>
        <v>25.50996</v>
      </c>
      <c r="M253" s="25">
        <f ca="1">IFERROR(__xludf.DUMMYFUNCTION("""COMPUTED_VALUE"""),89.78164)</f>
        <v>89.781639999999996</v>
      </c>
      <c r="N253" s="25"/>
      <c r="O25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3" s="25" t="str">
        <f ca="1">IFERROR(__xludf.DUMMYFUNCTION("""COMPUTED_VALUE"""),"ফলদ, বনজ")</f>
        <v>ফলদ, বনজ</v>
      </c>
      <c r="Q253" s="25">
        <f ca="1">IFERROR(__xludf.DUMMYFUNCTION("""COMPUTED_VALUE"""),5)</f>
        <v>5</v>
      </c>
      <c r="R253" s="25"/>
      <c r="S253" s="25"/>
      <c r="T253" s="25"/>
      <c r="U253" s="25" t="str">
        <f ca="1">IFERROR(__xludf.DUMMYFUNCTION("""COMPUTED_VALUE"""),"মোছাঃ জাহানারা খাতুন")</f>
        <v>মোছাঃ জাহানারা খাতুন</v>
      </c>
      <c r="V253" s="25" t="str">
        <f ca="1">IFERROR(__xludf.DUMMYFUNCTION("""COMPUTED_VALUE"""),"০১৩৩০২৫৯১২০")</f>
        <v>০১৩৩০২৫৯১২০</v>
      </c>
      <c r="W253" s="25" t="str">
        <f ca="1">IFERROR(__xludf.DUMMYFUNCTION("""COMPUTED_VALUE"""),"মোঃ আনোয়ার হোসেন
")</f>
        <v xml:space="preserve">মোঃ আনোয়ার হোসেন
</v>
      </c>
      <c r="X253" s="25" t="str">
        <f ca="1">IFERROR(__xludf.DUMMYFUNCTION("""COMPUTED_VALUE"""),"০১৭১৮১৬৫৪৯১")</f>
        <v>০১৭১৮১৬৫৪৯১</v>
      </c>
      <c r="Y253" s="25"/>
      <c r="Z253" s="25"/>
      <c r="AA253" s="25"/>
      <c r="AB253" s="25"/>
      <c r="AC253" s="25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spans="1:40" ht="15" customHeight="1" x14ac:dyDescent="0.15">
      <c r="A254" s="21"/>
      <c r="B254" s="21"/>
      <c r="C254" s="21" t="str">
        <f ca="1">IFERROR(__xludf.DUMMYFUNCTION("""COMPUTED_VALUE"""),"রংপুর")</f>
        <v>রংপুর</v>
      </c>
      <c r="D254" s="21" t="str">
        <f ca="1">IFERROR(__xludf.DUMMYFUNCTION("""COMPUTED_VALUE"""),"রংপুর")</f>
        <v>রংপুর</v>
      </c>
      <c r="E254" s="21" t="str">
        <f ca="1">IFERROR(__xludf.DUMMYFUNCTION("""COMPUTED_VALUE"""),"কুড়িগ্রাম")</f>
        <v>কুড়িগ্রাম</v>
      </c>
      <c r="F254" s="21" t="str">
        <f ca="1">IFERROR(__xludf.DUMMYFUNCTION("""COMPUTED_VALUE"""),"চর রাজিবপুর")</f>
        <v>চর রাজিবপুর</v>
      </c>
      <c r="G254" s="21"/>
      <c r="H254" s="21"/>
      <c r="I254" s="21"/>
      <c r="J254" s="21" t="str">
        <f ca="1">IFERROR(__xludf.DUMMYFUNCTION("""COMPUTED_VALUE"""),"প্রণোদনা")</f>
        <v>প্রণোদনা</v>
      </c>
      <c r="K254" s="21"/>
      <c r="L254" s="21">
        <f ca="1">IFERROR(__xludf.DUMMYFUNCTION("""COMPUTED_VALUE"""),25.50786)</f>
        <v>25.507860000000001</v>
      </c>
      <c r="M254" s="21">
        <f ca="1">IFERROR(__xludf.DUMMYFUNCTION("""COMPUTED_VALUE"""),8978236)</f>
        <v>8978236</v>
      </c>
      <c r="N254" s="21"/>
      <c r="O25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4" s="21" t="str">
        <f ca="1">IFERROR(__xludf.DUMMYFUNCTION("""COMPUTED_VALUE"""),"ফলদ, বনজ")</f>
        <v>ফলদ, বনজ</v>
      </c>
      <c r="Q254" s="21">
        <f ca="1">IFERROR(__xludf.DUMMYFUNCTION("""COMPUTED_VALUE"""),5)</f>
        <v>5</v>
      </c>
      <c r="R254" s="21"/>
      <c r="S254" s="21"/>
      <c r="T254" s="21"/>
      <c r="U254" s="21" t="str">
        <f ca="1">IFERROR(__xludf.DUMMYFUNCTION("""COMPUTED_VALUE"""),"মোঃ মোবশের আলম")</f>
        <v>মোঃ মোবশের আলম</v>
      </c>
      <c r="V254" s="21" t="str">
        <f ca="1">IFERROR(__xludf.DUMMYFUNCTION("""COMPUTED_VALUE"""),"০১৯২২৯৮১৪৭৬")</f>
        <v>০১৯২২৯৮১৪৭৬</v>
      </c>
      <c r="W254" s="21" t="str">
        <f ca="1">IFERROR(__xludf.DUMMYFUNCTION("""COMPUTED_VALUE"""),"মোঃ আনোয়ার হোসেন
")</f>
        <v xml:space="preserve">মোঃ আনোয়ার হোসেন
</v>
      </c>
      <c r="X254" s="21" t="str">
        <f ca="1">IFERROR(__xludf.DUMMYFUNCTION("""COMPUTED_VALUE"""),"০১৭১৮১৬৫৪৯১")</f>
        <v>০১৭১৮১৬৫৪৯১</v>
      </c>
      <c r="Y254" s="21"/>
      <c r="Z254" s="21"/>
      <c r="AA254" s="21"/>
      <c r="AB254" s="21"/>
      <c r="AC254" s="21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</row>
    <row r="255" spans="1:40" ht="15" customHeight="1" x14ac:dyDescent="0.15">
      <c r="A255" s="25"/>
      <c r="B255" s="25"/>
      <c r="C255" s="25" t="str">
        <f ca="1">IFERROR(__xludf.DUMMYFUNCTION("""COMPUTED_VALUE"""),"রংপুর")</f>
        <v>রংপুর</v>
      </c>
      <c r="D255" s="25" t="str">
        <f ca="1">IFERROR(__xludf.DUMMYFUNCTION("""COMPUTED_VALUE"""),"রংপুর")</f>
        <v>রংপুর</v>
      </c>
      <c r="E255" s="25" t="str">
        <f ca="1">IFERROR(__xludf.DUMMYFUNCTION("""COMPUTED_VALUE"""),"কুড়িগ্রাম")</f>
        <v>কুড়িগ্রাম</v>
      </c>
      <c r="F255" s="25" t="str">
        <f ca="1">IFERROR(__xludf.DUMMYFUNCTION("""COMPUTED_VALUE"""),"চর রাজিবপুর")</f>
        <v>চর রাজিবপুর</v>
      </c>
      <c r="G255" s="25"/>
      <c r="H255" s="25"/>
      <c r="I255" s="25"/>
      <c r="J255" s="25" t="str">
        <f ca="1">IFERROR(__xludf.DUMMYFUNCTION("""COMPUTED_VALUE"""),"প্রণোদনা")</f>
        <v>প্রণোদনা</v>
      </c>
      <c r="K255" s="25"/>
      <c r="L255" s="25">
        <f ca="1">IFERROR(__xludf.DUMMYFUNCTION("""COMPUTED_VALUE"""),25.51108)</f>
        <v>25.51108</v>
      </c>
      <c r="M255" s="25">
        <f ca="1">IFERROR(__xludf.DUMMYFUNCTION("""COMPUTED_VALUE"""),89.78194)</f>
        <v>89.781940000000006</v>
      </c>
      <c r="N255" s="25"/>
      <c r="O25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5" s="25" t="str">
        <f ca="1">IFERROR(__xludf.DUMMYFUNCTION("""COMPUTED_VALUE"""),"ফলদ, বনজ")</f>
        <v>ফলদ, বনজ</v>
      </c>
      <c r="Q255" s="25">
        <f ca="1">IFERROR(__xludf.DUMMYFUNCTION("""COMPUTED_VALUE"""),5)</f>
        <v>5</v>
      </c>
      <c r="R255" s="25"/>
      <c r="S255" s="25"/>
      <c r="T255" s="25"/>
      <c r="U255" s="25" t="str">
        <f ca="1">IFERROR(__xludf.DUMMYFUNCTION("""COMPUTED_VALUE"""),"মোঃ এবাদুল হক")</f>
        <v>মোঃ এবাদুল হক</v>
      </c>
      <c r="V255" s="25" t="str">
        <f ca="1">IFERROR(__xludf.DUMMYFUNCTION("""COMPUTED_VALUE"""),"০১৯৮৬৫৯১৮১১")</f>
        <v>০১৯৮৬৫৯১৮১১</v>
      </c>
      <c r="W255" s="25" t="str">
        <f ca="1">IFERROR(__xludf.DUMMYFUNCTION("""COMPUTED_VALUE"""),"মোঃ আনোয়ার হোসেন
")</f>
        <v xml:space="preserve">মোঃ আনোয়ার হোসেন
</v>
      </c>
      <c r="X255" s="25" t="str">
        <f ca="1">IFERROR(__xludf.DUMMYFUNCTION("""COMPUTED_VALUE"""),"০১৭১৮১৬৫৪৯১")</f>
        <v>০১৭১৮১৬৫৪৯১</v>
      </c>
      <c r="Y255" s="25"/>
      <c r="Z255" s="25"/>
      <c r="AA255" s="25"/>
      <c r="AB255" s="25"/>
      <c r="AC255" s="25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spans="1:40" ht="15" customHeight="1" x14ac:dyDescent="0.15">
      <c r="A256" s="21"/>
      <c r="B256" s="21"/>
      <c r="C256" s="21" t="str">
        <f ca="1">IFERROR(__xludf.DUMMYFUNCTION("""COMPUTED_VALUE"""),"রংপুর")</f>
        <v>রংপুর</v>
      </c>
      <c r="D256" s="21" t="str">
        <f ca="1">IFERROR(__xludf.DUMMYFUNCTION("""COMPUTED_VALUE"""),"রংপুর")</f>
        <v>রংপুর</v>
      </c>
      <c r="E256" s="21" t="str">
        <f ca="1">IFERROR(__xludf.DUMMYFUNCTION("""COMPUTED_VALUE"""),"কুড়িগ্রাম")</f>
        <v>কুড়িগ্রাম</v>
      </c>
      <c r="F256" s="21" t="str">
        <f ca="1">IFERROR(__xludf.DUMMYFUNCTION("""COMPUTED_VALUE"""),"চর রাজিবপুর")</f>
        <v>চর রাজিবপুর</v>
      </c>
      <c r="G256" s="21"/>
      <c r="H256" s="21"/>
      <c r="I256" s="21"/>
      <c r="J256" s="21" t="str">
        <f ca="1">IFERROR(__xludf.DUMMYFUNCTION("""COMPUTED_VALUE"""),"প্রণোদনা")</f>
        <v>প্রণোদনা</v>
      </c>
      <c r="K256" s="21"/>
      <c r="L256" s="21">
        <f ca="1">IFERROR(__xludf.DUMMYFUNCTION("""COMPUTED_VALUE"""),25.51042)</f>
        <v>25.51042</v>
      </c>
      <c r="M256" s="21">
        <f ca="1">IFERROR(__xludf.DUMMYFUNCTION("""COMPUTED_VALUE"""),89.7836)</f>
        <v>89.783600000000007</v>
      </c>
      <c r="N256" s="21"/>
      <c r="O25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6" s="21" t="str">
        <f ca="1">IFERROR(__xludf.DUMMYFUNCTION("""COMPUTED_VALUE"""),"ফলদ, বনজ")</f>
        <v>ফলদ, বনজ</v>
      </c>
      <c r="Q256" s="21">
        <f ca="1">IFERROR(__xludf.DUMMYFUNCTION("""COMPUTED_VALUE"""),5)</f>
        <v>5</v>
      </c>
      <c r="R256" s="21"/>
      <c r="S256" s="21"/>
      <c r="T256" s="21"/>
      <c r="U256" s="21" t="str">
        <f ca="1">IFERROR(__xludf.DUMMYFUNCTION("""COMPUTED_VALUE"""),"মোঃ সবুজ মিয়া")</f>
        <v>মোঃ সবুজ মিয়া</v>
      </c>
      <c r="V256" s="21" t="str">
        <f ca="1">IFERROR(__xludf.DUMMYFUNCTION("""COMPUTED_VALUE"""),"০১৯৮০১১৮৯৭৯")</f>
        <v>০১৯৮০১১৮৯৭৯</v>
      </c>
      <c r="W256" s="21" t="str">
        <f ca="1">IFERROR(__xludf.DUMMYFUNCTION("""COMPUTED_VALUE"""),"মোঃ আনোয়ার হোসেন
")</f>
        <v xml:space="preserve">মোঃ আনোয়ার হোসেন
</v>
      </c>
      <c r="X256" s="21" t="str">
        <f ca="1">IFERROR(__xludf.DUMMYFUNCTION("""COMPUTED_VALUE"""),"০১৭১৮১৬৫৪৯১")</f>
        <v>০১৭১৮১৬৫৪৯১</v>
      </c>
      <c r="Y256" s="21"/>
      <c r="Z256" s="21"/>
      <c r="AA256" s="21"/>
      <c r="AB256" s="21"/>
      <c r="AC256" s="21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</row>
    <row r="257" spans="1:40" ht="15" customHeight="1" x14ac:dyDescent="0.15">
      <c r="A257" s="25"/>
      <c r="B257" s="25"/>
      <c r="C257" s="25" t="str">
        <f ca="1">IFERROR(__xludf.DUMMYFUNCTION("""COMPUTED_VALUE"""),"রংপুর")</f>
        <v>রংপুর</v>
      </c>
      <c r="D257" s="25" t="str">
        <f ca="1">IFERROR(__xludf.DUMMYFUNCTION("""COMPUTED_VALUE"""),"রংপুর")</f>
        <v>রংপুর</v>
      </c>
      <c r="E257" s="25" t="str">
        <f ca="1">IFERROR(__xludf.DUMMYFUNCTION("""COMPUTED_VALUE"""),"কুড়িগ্রাম")</f>
        <v>কুড়িগ্রাম</v>
      </c>
      <c r="F257" s="25" t="str">
        <f ca="1">IFERROR(__xludf.DUMMYFUNCTION("""COMPUTED_VALUE"""),"চর রাজিবপুর")</f>
        <v>চর রাজিবপুর</v>
      </c>
      <c r="G257" s="25"/>
      <c r="H257" s="25"/>
      <c r="I257" s="25"/>
      <c r="J257" s="25" t="str">
        <f ca="1">IFERROR(__xludf.DUMMYFUNCTION("""COMPUTED_VALUE"""),"প্রণোদনা")</f>
        <v>প্রণোদনা</v>
      </c>
      <c r="K257" s="25"/>
      <c r="L257" s="25">
        <f ca="1">IFERROR(__xludf.DUMMYFUNCTION("""COMPUTED_VALUE"""),25.50683)</f>
        <v>25.506830000000001</v>
      </c>
      <c r="M257" s="25">
        <f ca="1">IFERROR(__xludf.DUMMYFUNCTION("""COMPUTED_VALUE"""),8978051)</f>
        <v>8978051</v>
      </c>
      <c r="N257" s="25"/>
      <c r="O25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7" s="25" t="str">
        <f ca="1">IFERROR(__xludf.DUMMYFUNCTION("""COMPUTED_VALUE"""),"ফলদ, বনজ")</f>
        <v>ফলদ, বনজ</v>
      </c>
      <c r="Q257" s="25">
        <f ca="1">IFERROR(__xludf.DUMMYFUNCTION("""COMPUTED_VALUE"""),5)</f>
        <v>5</v>
      </c>
      <c r="R257" s="25"/>
      <c r="S257" s="25"/>
      <c r="T257" s="25"/>
      <c r="U257" s="25" t="str">
        <f ca="1">IFERROR(__xludf.DUMMYFUNCTION("""COMPUTED_VALUE"""),"মোঃ উজির আলী")</f>
        <v>মোঃ উজির আলী</v>
      </c>
      <c r="V257" s="25" t="str">
        <f ca="1">IFERROR(__xludf.DUMMYFUNCTION("""COMPUTED_VALUE"""),"০১৯৮০১৫১৩১১")</f>
        <v>০১৯৮০১৫১৩১১</v>
      </c>
      <c r="W257" s="25" t="str">
        <f ca="1">IFERROR(__xludf.DUMMYFUNCTION("""COMPUTED_VALUE"""),"মোঃ আনোয়ার হোসেন
")</f>
        <v xml:space="preserve">মোঃ আনোয়ার হোসেন
</v>
      </c>
      <c r="X257" s="25" t="str">
        <f ca="1">IFERROR(__xludf.DUMMYFUNCTION("""COMPUTED_VALUE"""),"০১৭১৮১৬৫৪৯১")</f>
        <v>০১৭১৮১৬৫৪৯১</v>
      </c>
      <c r="Y257" s="25"/>
      <c r="Z257" s="25"/>
      <c r="AA257" s="25"/>
      <c r="AB257" s="25"/>
      <c r="AC257" s="25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spans="1:40" ht="15" customHeight="1" x14ac:dyDescent="0.15">
      <c r="A258" s="21"/>
      <c r="B258" s="21"/>
      <c r="C258" s="21" t="str">
        <f ca="1">IFERROR(__xludf.DUMMYFUNCTION("""COMPUTED_VALUE"""),"রংপুর")</f>
        <v>রংপুর</v>
      </c>
      <c r="D258" s="21" t="str">
        <f ca="1">IFERROR(__xludf.DUMMYFUNCTION("""COMPUTED_VALUE"""),"রংপুর")</f>
        <v>রংপুর</v>
      </c>
      <c r="E258" s="21" t="str">
        <f ca="1">IFERROR(__xludf.DUMMYFUNCTION("""COMPUTED_VALUE"""),"কুড়িগ্রাম")</f>
        <v>কুড়িগ্রাম</v>
      </c>
      <c r="F258" s="21" t="str">
        <f ca="1">IFERROR(__xludf.DUMMYFUNCTION("""COMPUTED_VALUE"""),"চর রাজিবপুর")</f>
        <v>চর রাজিবপুর</v>
      </c>
      <c r="G258" s="21"/>
      <c r="H258" s="21"/>
      <c r="I258" s="21"/>
      <c r="J258" s="21" t="str">
        <f ca="1">IFERROR(__xludf.DUMMYFUNCTION("""COMPUTED_VALUE"""),"প্রণোদনা")</f>
        <v>প্রণোদনা</v>
      </c>
      <c r="K258" s="21"/>
      <c r="L258" s="21">
        <f ca="1">IFERROR(__xludf.DUMMYFUNCTION("""COMPUTED_VALUE"""),25.51009)</f>
        <v>25.510090000000002</v>
      </c>
      <c r="M258" s="21">
        <f ca="1">IFERROR(__xludf.DUMMYFUNCTION("""COMPUTED_VALUE"""),89.78142)</f>
        <v>89.781419999999997</v>
      </c>
      <c r="N258" s="21"/>
      <c r="O25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8" s="21" t="str">
        <f ca="1">IFERROR(__xludf.DUMMYFUNCTION("""COMPUTED_VALUE"""),"ফলদ, বনজ")</f>
        <v>ফলদ, বনজ</v>
      </c>
      <c r="Q258" s="21">
        <f ca="1">IFERROR(__xludf.DUMMYFUNCTION("""COMPUTED_VALUE"""),5)</f>
        <v>5</v>
      </c>
      <c r="R258" s="21"/>
      <c r="S258" s="21"/>
      <c r="T258" s="21"/>
      <c r="U258" s="21" t="str">
        <f ca="1">IFERROR(__xludf.DUMMYFUNCTION("""COMPUTED_VALUE"""),"মোঃ কালাম")</f>
        <v>মোঃ কালাম</v>
      </c>
      <c r="V258" s="21" t="str">
        <f ca="1">IFERROR(__xludf.DUMMYFUNCTION("""COMPUTED_VALUE"""),"০১৩১৯৫৮৪৬৫")</f>
        <v>০১৩১৯৫৮৪৬৫</v>
      </c>
      <c r="W258" s="21" t="str">
        <f ca="1">IFERROR(__xludf.DUMMYFUNCTION("""COMPUTED_VALUE"""),"মোঃ আনোয়ার হোসেন
")</f>
        <v xml:space="preserve">মোঃ আনোয়ার হোসেন
</v>
      </c>
      <c r="X258" s="21" t="str">
        <f ca="1">IFERROR(__xludf.DUMMYFUNCTION("""COMPUTED_VALUE"""),"০১৭১৮১৬৫৪৯১")</f>
        <v>০১৭১৮১৬৫৪৯১</v>
      </c>
      <c r="Y258" s="21"/>
      <c r="Z258" s="21"/>
      <c r="AA258" s="21"/>
      <c r="AB258" s="21"/>
      <c r="AC258" s="21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</row>
    <row r="259" spans="1:40" ht="15" customHeight="1" x14ac:dyDescent="0.15">
      <c r="A259" s="25"/>
      <c r="B259" s="25"/>
      <c r="C259" s="25" t="str">
        <f ca="1">IFERROR(__xludf.DUMMYFUNCTION("""COMPUTED_VALUE"""),"রংপুর")</f>
        <v>রংপুর</v>
      </c>
      <c r="D259" s="25" t="str">
        <f ca="1">IFERROR(__xludf.DUMMYFUNCTION("""COMPUTED_VALUE"""),"রংপুর")</f>
        <v>রংপুর</v>
      </c>
      <c r="E259" s="25" t="str">
        <f ca="1">IFERROR(__xludf.DUMMYFUNCTION("""COMPUTED_VALUE"""),"কুড়িগ্রাম")</f>
        <v>কুড়িগ্রাম</v>
      </c>
      <c r="F259" s="25" t="str">
        <f ca="1">IFERROR(__xludf.DUMMYFUNCTION("""COMPUTED_VALUE"""),"চর রাজিবপুর")</f>
        <v>চর রাজিবপুর</v>
      </c>
      <c r="G259" s="25"/>
      <c r="H259" s="25"/>
      <c r="I259" s="25"/>
      <c r="J259" s="25" t="str">
        <f ca="1">IFERROR(__xludf.DUMMYFUNCTION("""COMPUTED_VALUE"""),"প্রণোদনা")</f>
        <v>প্রণোদনা</v>
      </c>
      <c r="K259" s="25"/>
      <c r="L259" s="25">
        <f ca="1">IFERROR(__xludf.DUMMYFUNCTION("""COMPUTED_VALUE"""),25.50916)</f>
        <v>25.509160000000001</v>
      </c>
      <c r="M259" s="25">
        <f ca="1">IFERROR(__xludf.DUMMYFUNCTION("""COMPUTED_VALUE"""),89.78147)</f>
        <v>89.781469999999999</v>
      </c>
      <c r="N259" s="25"/>
      <c r="O25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9" s="25" t="str">
        <f ca="1">IFERROR(__xludf.DUMMYFUNCTION("""COMPUTED_VALUE"""),"ফলদ, বনজ")</f>
        <v>ফলদ, বনজ</v>
      </c>
      <c r="Q259" s="25">
        <f ca="1">IFERROR(__xludf.DUMMYFUNCTION("""COMPUTED_VALUE"""),5)</f>
        <v>5</v>
      </c>
      <c r="R259" s="25"/>
      <c r="S259" s="25"/>
      <c r="T259" s="25"/>
      <c r="U259" s="25" t="str">
        <f ca="1">IFERROR(__xludf.DUMMYFUNCTION("""COMPUTED_VALUE"""),"মোঃ মর্জিনা খাতুন")</f>
        <v>মোঃ মর্জিনা খাতুন</v>
      </c>
      <c r="V259" s="25" t="str">
        <f ca="1">IFERROR(__xludf.DUMMYFUNCTION("""COMPUTED_VALUE"""),"০১৯৩০৫৩২২১১৮")</f>
        <v>০১৯৩০৫৩২২১১৮</v>
      </c>
      <c r="W259" s="25" t="str">
        <f ca="1">IFERROR(__xludf.DUMMYFUNCTION("""COMPUTED_VALUE"""),"মোঃ আনোয়ার হোসেন
")</f>
        <v xml:space="preserve">মোঃ আনোয়ার হোসেন
</v>
      </c>
      <c r="X259" s="25" t="str">
        <f ca="1">IFERROR(__xludf.DUMMYFUNCTION("""COMPUTED_VALUE"""),"০১৭১৮১৬৫৪৯১")</f>
        <v>০১৭১৮১৬৫৪৯১</v>
      </c>
      <c r="Y259" s="25"/>
      <c r="Z259" s="25"/>
      <c r="AA259" s="25"/>
      <c r="AB259" s="25"/>
      <c r="AC259" s="25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spans="1:40" ht="15" customHeight="1" x14ac:dyDescent="0.15">
      <c r="A260" s="21"/>
      <c r="B260" s="21"/>
      <c r="C260" s="21" t="str">
        <f ca="1">IFERROR(__xludf.DUMMYFUNCTION("""COMPUTED_VALUE"""),"রংপুর")</f>
        <v>রংপুর</v>
      </c>
      <c r="D260" s="21" t="str">
        <f ca="1">IFERROR(__xludf.DUMMYFUNCTION("""COMPUTED_VALUE"""),"রংপুর")</f>
        <v>রংপুর</v>
      </c>
      <c r="E260" s="21" t="str">
        <f ca="1">IFERROR(__xludf.DUMMYFUNCTION("""COMPUTED_VALUE"""),"কুড়িগ্রাম")</f>
        <v>কুড়িগ্রাম</v>
      </c>
      <c r="F260" s="21" t="str">
        <f ca="1">IFERROR(__xludf.DUMMYFUNCTION("""COMPUTED_VALUE"""),"চর রাজিবপুর")</f>
        <v>চর রাজিবপুর</v>
      </c>
      <c r="G260" s="21"/>
      <c r="H260" s="21"/>
      <c r="I260" s="21"/>
      <c r="J260" s="21" t="str">
        <f ca="1">IFERROR(__xludf.DUMMYFUNCTION("""COMPUTED_VALUE"""),"প্রণোদনা")</f>
        <v>প্রণোদনা</v>
      </c>
      <c r="K260" s="21"/>
      <c r="L260" s="21">
        <f ca="1">IFERROR(__xludf.DUMMYFUNCTION("""COMPUTED_VALUE"""),25.51056)</f>
        <v>25.510560000000002</v>
      </c>
      <c r="M260" s="21">
        <f ca="1">IFERROR(__xludf.DUMMYFUNCTION("""COMPUTED_VALUE"""),89.7821)</f>
        <v>89.7821</v>
      </c>
      <c r="N260" s="21"/>
      <c r="O26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0" s="21" t="str">
        <f ca="1">IFERROR(__xludf.DUMMYFUNCTION("""COMPUTED_VALUE"""),"ফলদ, বনজ")</f>
        <v>ফলদ, বনজ</v>
      </c>
      <c r="Q260" s="21">
        <f ca="1">IFERROR(__xludf.DUMMYFUNCTION("""COMPUTED_VALUE"""),5)</f>
        <v>5</v>
      </c>
      <c r="R260" s="21"/>
      <c r="S260" s="21"/>
      <c r="T260" s="21"/>
      <c r="U260" s="21" t="str">
        <f ca="1">IFERROR(__xludf.DUMMYFUNCTION("""COMPUTED_VALUE"""),"মোছাঃ সাবিনা ইয়াসমিন")</f>
        <v>মোছাঃ সাবিনা ইয়াসমিন</v>
      </c>
      <c r="V260" s="21" t="str">
        <f ca="1">IFERROR(__xludf.DUMMYFUNCTION("""COMPUTED_VALUE"""),"০১৯৯৮২০৩৬০৪")</f>
        <v>০১৯৯৮২০৩৬০৪</v>
      </c>
      <c r="W260" s="21" t="str">
        <f ca="1">IFERROR(__xludf.DUMMYFUNCTION("""COMPUTED_VALUE"""),"মোঃ আনোয়ার হোসেন
")</f>
        <v xml:space="preserve">মোঃ আনোয়ার হোসেন
</v>
      </c>
      <c r="X260" s="21" t="str">
        <f ca="1">IFERROR(__xludf.DUMMYFUNCTION("""COMPUTED_VALUE"""),"০১৭১৮১৬৫৪৯১")</f>
        <v>০১৭১৮১৬৫৪৯১</v>
      </c>
      <c r="Y260" s="21"/>
      <c r="Z260" s="21"/>
      <c r="AA260" s="21"/>
      <c r="AB260" s="21"/>
      <c r="AC260" s="21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</row>
    <row r="261" spans="1:40" ht="15" customHeight="1" x14ac:dyDescent="0.15">
      <c r="A261" s="25"/>
      <c r="B261" s="25"/>
      <c r="C261" s="25" t="str">
        <f ca="1">IFERROR(__xludf.DUMMYFUNCTION("""COMPUTED_VALUE"""),"রংপুর")</f>
        <v>রংপুর</v>
      </c>
      <c r="D261" s="25" t="str">
        <f ca="1">IFERROR(__xludf.DUMMYFUNCTION("""COMPUTED_VALUE"""),"রংপুর")</f>
        <v>রংপুর</v>
      </c>
      <c r="E261" s="25" t="str">
        <f ca="1">IFERROR(__xludf.DUMMYFUNCTION("""COMPUTED_VALUE"""),"কুড়িগ্রাম")</f>
        <v>কুড়িগ্রাম</v>
      </c>
      <c r="F261" s="25" t="str">
        <f ca="1">IFERROR(__xludf.DUMMYFUNCTION("""COMPUTED_VALUE"""),"চর রাজিবপুর")</f>
        <v>চর রাজিবপুর</v>
      </c>
      <c r="G261" s="25"/>
      <c r="H261" s="25"/>
      <c r="I261" s="25"/>
      <c r="J261" s="25" t="str">
        <f ca="1">IFERROR(__xludf.DUMMYFUNCTION("""COMPUTED_VALUE"""),"প্রণোদনা")</f>
        <v>প্রণোদনা</v>
      </c>
      <c r="K261" s="25"/>
      <c r="L261" s="25">
        <f ca="1">IFERROR(__xludf.DUMMYFUNCTION("""COMPUTED_VALUE"""),25.51016)</f>
        <v>25.510159999999999</v>
      </c>
      <c r="M261" s="25">
        <f ca="1">IFERROR(__xludf.DUMMYFUNCTION("""COMPUTED_VALUE"""),89.78296)</f>
        <v>89.782960000000003</v>
      </c>
      <c r="N261" s="25"/>
      <c r="O26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1" s="25" t="str">
        <f ca="1">IFERROR(__xludf.DUMMYFUNCTION("""COMPUTED_VALUE"""),"ফলদ, বনজ")</f>
        <v>ফলদ, বনজ</v>
      </c>
      <c r="Q261" s="25">
        <f ca="1">IFERROR(__xludf.DUMMYFUNCTION("""COMPUTED_VALUE"""),5)</f>
        <v>5</v>
      </c>
      <c r="R261" s="25"/>
      <c r="S261" s="25"/>
      <c r="T261" s="25"/>
      <c r="U261" s="25" t="str">
        <f ca="1">IFERROR(__xludf.DUMMYFUNCTION("""COMPUTED_VALUE"""),"মোঃ এরশাদুল হক")</f>
        <v>মোঃ এরশাদুল হক</v>
      </c>
      <c r="V261" s="25" t="str">
        <f ca="1">IFERROR(__xludf.DUMMYFUNCTION("""COMPUTED_VALUE"""),"০১৯৭৯৯৩৪৮৮৩")</f>
        <v>০১৯৭৯৯৩৪৮৮৩</v>
      </c>
      <c r="W261" s="25" t="str">
        <f ca="1">IFERROR(__xludf.DUMMYFUNCTION("""COMPUTED_VALUE"""),"মোঃ আনোয়ার হোসেন
")</f>
        <v xml:space="preserve">মোঃ আনোয়ার হোসেন
</v>
      </c>
      <c r="X261" s="25" t="str">
        <f ca="1">IFERROR(__xludf.DUMMYFUNCTION("""COMPUTED_VALUE"""),"০১৭১৮১৬৫৪৯১")</f>
        <v>০১৭১৮১৬৫৪৯১</v>
      </c>
      <c r="Y261" s="25"/>
      <c r="Z261" s="25"/>
      <c r="AA261" s="25"/>
      <c r="AB261" s="25"/>
      <c r="AC261" s="25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spans="1:40" ht="15" customHeight="1" x14ac:dyDescent="0.15">
      <c r="A262" s="21"/>
      <c r="B262" s="21"/>
      <c r="C262" s="21" t="str">
        <f ca="1">IFERROR(__xludf.DUMMYFUNCTION("""COMPUTED_VALUE"""),"রংপুর")</f>
        <v>রংপুর</v>
      </c>
      <c r="D262" s="21" t="str">
        <f ca="1">IFERROR(__xludf.DUMMYFUNCTION("""COMPUTED_VALUE"""),"রংপুর")</f>
        <v>রংপুর</v>
      </c>
      <c r="E262" s="21" t="str">
        <f ca="1">IFERROR(__xludf.DUMMYFUNCTION("""COMPUTED_VALUE"""),"কুড়িগ্রাম")</f>
        <v>কুড়িগ্রাম</v>
      </c>
      <c r="F262" s="21" t="str">
        <f ca="1">IFERROR(__xludf.DUMMYFUNCTION("""COMPUTED_VALUE"""),"চর রাজিবপুর")</f>
        <v>চর রাজিবপুর</v>
      </c>
      <c r="G262" s="21"/>
      <c r="H262" s="21"/>
      <c r="I262" s="21"/>
      <c r="J262" s="21" t="str">
        <f ca="1">IFERROR(__xludf.DUMMYFUNCTION("""COMPUTED_VALUE"""),"প্রণোদনা")</f>
        <v>প্রণোদনা</v>
      </c>
      <c r="K262" s="21"/>
      <c r="L262" s="21">
        <f ca="1">IFERROR(__xludf.DUMMYFUNCTION("""COMPUTED_VALUE"""),25.51158)</f>
        <v>25.511579999999999</v>
      </c>
      <c r="M262" s="21">
        <f ca="1">IFERROR(__xludf.DUMMYFUNCTION("""COMPUTED_VALUE"""),89.78213)</f>
        <v>89.782129999999995</v>
      </c>
      <c r="N262" s="21"/>
      <c r="O26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2" s="21" t="str">
        <f ca="1">IFERROR(__xludf.DUMMYFUNCTION("""COMPUTED_VALUE"""),"ফলদ, বনজ")</f>
        <v>ফলদ, বনজ</v>
      </c>
      <c r="Q262" s="21">
        <f ca="1">IFERROR(__xludf.DUMMYFUNCTION("""COMPUTED_VALUE"""),5)</f>
        <v>5</v>
      </c>
      <c r="R262" s="21"/>
      <c r="S262" s="21"/>
      <c r="T262" s="21"/>
      <c r="U262" s="21" t="str">
        <f ca="1">IFERROR(__xludf.DUMMYFUNCTION("""COMPUTED_VALUE"""),"মোঃ তোতা মিয়া")</f>
        <v>মোঃ তোতা মিয়া</v>
      </c>
      <c r="V262" s="21" t="str">
        <f ca="1">IFERROR(__xludf.DUMMYFUNCTION("""COMPUTED_VALUE"""),"০১৭৪২৮৮২০৭৯")</f>
        <v>০১৭৪২৮৮২০৭৯</v>
      </c>
      <c r="W262" s="21" t="str">
        <f ca="1">IFERROR(__xludf.DUMMYFUNCTION("""COMPUTED_VALUE"""),"মোঃ আনোয়ার হোসেন
")</f>
        <v xml:space="preserve">মোঃ আনোয়ার হোসেন
</v>
      </c>
      <c r="X262" s="21" t="str">
        <f ca="1">IFERROR(__xludf.DUMMYFUNCTION("""COMPUTED_VALUE"""),"০১৭১৮১৬৫৪৯১")</f>
        <v>০১৭১৮১৬৫৪৯১</v>
      </c>
      <c r="Y262" s="21"/>
      <c r="Z262" s="21"/>
      <c r="AA262" s="21"/>
      <c r="AB262" s="21"/>
      <c r="AC262" s="21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</row>
    <row r="263" spans="1:40" ht="15" customHeight="1" x14ac:dyDescent="0.15">
      <c r="A263" s="25"/>
      <c r="B263" s="25"/>
      <c r="C263" s="25" t="str">
        <f ca="1">IFERROR(__xludf.DUMMYFUNCTION("""COMPUTED_VALUE"""),"রংপুর")</f>
        <v>রংপুর</v>
      </c>
      <c r="D263" s="25" t="str">
        <f ca="1">IFERROR(__xludf.DUMMYFUNCTION("""COMPUTED_VALUE"""),"রংপুর")</f>
        <v>রংপুর</v>
      </c>
      <c r="E263" s="25" t="str">
        <f ca="1">IFERROR(__xludf.DUMMYFUNCTION("""COMPUTED_VALUE"""),"কুড়িগ্রাম")</f>
        <v>কুড়িগ্রাম</v>
      </c>
      <c r="F263" s="25" t="str">
        <f ca="1">IFERROR(__xludf.DUMMYFUNCTION("""COMPUTED_VALUE"""),"চর রাজিবপুর")</f>
        <v>চর রাজিবপুর</v>
      </c>
      <c r="G263" s="25"/>
      <c r="H263" s="25"/>
      <c r="I263" s="25"/>
      <c r="J263" s="25" t="str">
        <f ca="1">IFERROR(__xludf.DUMMYFUNCTION("""COMPUTED_VALUE"""),"প্রণোদনা")</f>
        <v>প্রণোদনা</v>
      </c>
      <c r="K263" s="25"/>
      <c r="L263" s="25">
        <f ca="1">IFERROR(__xludf.DUMMYFUNCTION("""COMPUTED_VALUE"""),25.50534)</f>
        <v>25.50534</v>
      </c>
      <c r="M263" s="25">
        <f ca="1">IFERROR(__xludf.DUMMYFUNCTION("""COMPUTED_VALUE"""),89.77894)</f>
        <v>89.778940000000006</v>
      </c>
      <c r="N263" s="25"/>
      <c r="O26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3" s="25" t="str">
        <f ca="1">IFERROR(__xludf.DUMMYFUNCTION("""COMPUTED_VALUE"""),"ফলদ, বনজ")</f>
        <v>ফলদ, বনজ</v>
      </c>
      <c r="Q263" s="25">
        <f ca="1">IFERROR(__xludf.DUMMYFUNCTION("""COMPUTED_VALUE"""),5)</f>
        <v>5</v>
      </c>
      <c r="R263" s="25"/>
      <c r="S263" s="25"/>
      <c r="T263" s="25"/>
      <c r="U263" s="25" t="str">
        <f ca="1">IFERROR(__xludf.DUMMYFUNCTION("""COMPUTED_VALUE"""),"মোছাঃ চায়না খাতুন")</f>
        <v>মোছাঃ চায়না খাতুন</v>
      </c>
      <c r="V263" s="25" t="str">
        <f ca="1">IFERROR(__xludf.DUMMYFUNCTION("""COMPUTED_VALUE"""),"০১৭৮০৪৫৮৮৬৪")</f>
        <v>০১৭৮০৪৫৮৮৬৪</v>
      </c>
      <c r="W263" s="25" t="str">
        <f ca="1">IFERROR(__xludf.DUMMYFUNCTION("""COMPUTED_VALUE"""),"মোঃ আনোয়ার হোসেন
")</f>
        <v xml:space="preserve">মোঃ আনোয়ার হোসেন
</v>
      </c>
      <c r="X263" s="25" t="str">
        <f ca="1">IFERROR(__xludf.DUMMYFUNCTION("""COMPUTED_VALUE"""),"০১৭১৮১৬৫৪৯১")</f>
        <v>০১৭১৮১৬৫৪৯১</v>
      </c>
      <c r="Y263" s="25"/>
      <c r="Z263" s="25"/>
      <c r="AA263" s="25"/>
      <c r="AB263" s="25"/>
      <c r="AC263" s="25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spans="1:40" ht="15" customHeight="1" x14ac:dyDescent="0.15">
      <c r="A264" s="21"/>
      <c r="B264" s="21"/>
      <c r="C264" s="21" t="str">
        <f ca="1">IFERROR(__xludf.DUMMYFUNCTION("""COMPUTED_VALUE"""),"রংপুর")</f>
        <v>রংপুর</v>
      </c>
      <c r="D264" s="21" t="str">
        <f ca="1">IFERROR(__xludf.DUMMYFUNCTION("""COMPUTED_VALUE"""),"রংপুর")</f>
        <v>রংপুর</v>
      </c>
      <c r="E264" s="21" t="str">
        <f ca="1">IFERROR(__xludf.DUMMYFUNCTION("""COMPUTED_VALUE"""),"কুড়িগ্রাম")</f>
        <v>কুড়িগ্রাম</v>
      </c>
      <c r="F264" s="21" t="str">
        <f ca="1">IFERROR(__xludf.DUMMYFUNCTION("""COMPUTED_VALUE"""),"চর রাজিবপুর")</f>
        <v>চর রাজিবপুর</v>
      </c>
      <c r="G264" s="21"/>
      <c r="H264" s="21"/>
      <c r="I264" s="21"/>
      <c r="J264" s="21" t="str">
        <f ca="1">IFERROR(__xludf.DUMMYFUNCTION("""COMPUTED_VALUE"""),"প্রণোদনা")</f>
        <v>প্রণোদনা</v>
      </c>
      <c r="K264" s="21"/>
      <c r="L264" s="21">
        <f ca="1">IFERROR(__xludf.DUMMYFUNCTION("""COMPUTED_VALUE"""),25.484813)</f>
        <v>25.484812999999999</v>
      </c>
      <c r="M264" s="21">
        <f ca="1">IFERROR(__xludf.DUMMYFUNCTION("""COMPUTED_VALUE"""),89.769911)</f>
        <v>89.769910999999993</v>
      </c>
      <c r="N264" s="21"/>
      <c r="O26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4" s="21" t="str">
        <f ca="1">IFERROR(__xludf.DUMMYFUNCTION("""COMPUTED_VALUE"""),"ফলদ, বনজ")</f>
        <v>ফলদ, বনজ</v>
      </c>
      <c r="Q264" s="21">
        <f ca="1">IFERROR(__xludf.DUMMYFUNCTION("""COMPUTED_VALUE"""),5)</f>
        <v>5</v>
      </c>
      <c r="R264" s="21"/>
      <c r="S264" s="21"/>
      <c r="T264" s="21"/>
      <c r="U264" s="21" t="str">
        <f ca="1">IFERROR(__xludf.DUMMYFUNCTION("""COMPUTED_VALUE"""),"মোঃ সিরাজুল ইসলাম")</f>
        <v>মোঃ সিরাজুল ইসলাম</v>
      </c>
      <c r="V264" s="21" t="str">
        <f ca="1">IFERROR(__xludf.DUMMYFUNCTION("""COMPUTED_VALUE"""),"০১৯৩১৪২১২৫৫")</f>
        <v>০১৯৩১৪২১২৫৫</v>
      </c>
      <c r="W264" s="21" t="str">
        <f ca="1">IFERROR(__xludf.DUMMYFUNCTION("""COMPUTED_VALUE"""),"মোঃ আনোয়ার হোসেন
")</f>
        <v xml:space="preserve">মোঃ আনোয়ার হোসেন
</v>
      </c>
      <c r="X264" s="21" t="str">
        <f ca="1">IFERROR(__xludf.DUMMYFUNCTION("""COMPUTED_VALUE"""),"০১৭১৮১৬৫৪৯১")</f>
        <v>০১৭১৮১৬৫৪৯১</v>
      </c>
      <c r="Y264" s="21"/>
      <c r="Z264" s="21"/>
      <c r="AA264" s="21"/>
      <c r="AB264" s="21"/>
      <c r="AC264" s="21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</row>
    <row r="265" spans="1:40" ht="15" customHeight="1" x14ac:dyDescent="0.15">
      <c r="A265" s="25"/>
      <c r="B265" s="25"/>
      <c r="C265" s="25" t="str">
        <f ca="1">IFERROR(__xludf.DUMMYFUNCTION("""COMPUTED_VALUE"""),"রংপুর")</f>
        <v>রংপুর</v>
      </c>
      <c r="D265" s="25" t="str">
        <f ca="1">IFERROR(__xludf.DUMMYFUNCTION("""COMPUTED_VALUE"""),"রংপুর")</f>
        <v>রংপুর</v>
      </c>
      <c r="E265" s="25" t="str">
        <f ca="1">IFERROR(__xludf.DUMMYFUNCTION("""COMPUTED_VALUE"""),"কুড়িগ্রাম")</f>
        <v>কুড়িগ্রাম</v>
      </c>
      <c r="F265" s="25" t="str">
        <f ca="1">IFERROR(__xludf.DUMMYFUNCTION("""COMPUTED_VALUE"""),"চর রাজিবপুর")</f>
        <v>চর রাজিবপুর</v>
      </c>
      <c r="G265" s="25"/>
      <c r="H265" s="25"/>
      <c r="I265" s="25"/>
      <c r="J265" s="25" t="str">
        <f ca="1">IFERROR(__xludf.DUMMYFUNCTION("""COMPUTED_VALUE"""),"প্রণোদনা")</f>
        <v>প্রণোদনা</v>
      </c>
      <c r="K265" s="25"/>
      <c r="L265" s="25">
        <f ca="1">IFERROR(__xludf.DUMMYFUNCTION("""COMPUTED_VALUE"""),25.472249)</f>
        <v>25.472249000000001</v>
      </c>
      <c r="M265" s="25">
        <f ca="1">IFERROR(__xludf.DUMMYFUNCTION("""COMPUTED_VALUE"""),89.792834)</f>
        <v>89.792833999999999</v>
      </c>
      <c r="N265" s="25"/>
      <c r="O26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5" s="25" t="str">
        <f ca="1">IFERROR(__xludf.DUMMYFUNCTION("""COMPUTED_VALUE"""),"ফলদ, বনজ")</f>
        <v>ফলদ, বনজ</v>
      </c>
      <c r="Q265" s="25">
        <f ca="1">IFERROR(__xludf.DUMMYFUNCTION("""COMPUTED_VALUE"""),5)</f>
        <v>5</v>
      </c>
      <c r="R265" s="25"/>
      <c r="S265" s="25"/>
      <c r="T265" s="25"/>
      <c r="U265" s="25" t="str">
        <f ca="1">IFERROR(__xludf.DUMMYFUNCTION("""COMPUTED_VALUE"""),"মোঃ নজরুল ইসলাম")</f>
        <v>মোঃ নজরুল ইসলাম</v>
      </c>
      <c r="V265" s="25" t="str">
        <f ca="1">IFERROR(__xludf.DUMMYFUNCTION("""COMPUTED_VALUE"""),"০১৯৪৫৮০৪৮৬৫")</f>
        <v>০১৯৪৫৮০৪৮৬৫</v>
      </c>
      <c r="W265" s="25" t="str">
        <f ca="1">IFERROR(__xludf.DUMMYFUNCTION("""COMPUTED_VALUE"""),"মোঃ আনোয়ার হোসেন
")</f>
        <v xml:space="preserve">মোঃ আনোয়ার হোসেন
</v>
      </c>
      <c r="X265" s="25" t="str">
        <f ca="1">IFERROR(__xludf.DUMMYFUNCTION("""COMPUTED_VALUE"""),"০১৭১৮১৬৫৪৯১")</f>
        <v>০১৭১৮১৬৫৪৯১</v>
      </c>
      <c r="Y265" s="25"/>
      <c r="Z265" s="25"/>
      <c r="AA265" s="25"/>
      <c r="AB265" s="25"/>
      <c r="AC265" s="25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spans="1:40" ht="15" customHeight="1" x14ac:dyDescent="0.15">
      <c r="A266" s="21"/>
      <c r="B266" s="21"/>
      <c r="C266" s="21" t="str">
        <f ca="1">IFERROR(__xludf.DUMMYFUNCTION("""COMPUTED_VALUE"""),"রংপুর")</f>
        <v>রংপুর</v>
      </c>
      <c r="D266" s="21" t="str">
        <f ca="1">IFERROR(__xludf.DUMMYFUNCTION("""COMPUTED_VALUE"""),"রংপুর")</f>
        <v>রংপুর</v>
      </c>
      <c r="E266" s="21" t="str">
        <f ca="1">IFERROR(__xludf.DUMMYFUNCTION("""COMPUTED_VALUE"""),"কুড়িগ্রাম")</f>
        <v>কুড়িগ্রাম</v>
      </c>
      <c r="F266" s="21" t="str">
        <f ca="1">IFERROR(__xludf.DUMMYFUNCTION("""COMPUTED_VALUE"""),"চর রাজিবপুর")</f>
        <v>চর রাজিবপুর</v>
      </c>
      <c r="G266" s="21"/>
      <c r="H266" s="21"/>
      <c r="I266" s="21"/>
      <c r="J266" s="21" t="str">
        <f ca="1">IFERROR(__xludf.DUMMYFUNCTION("""COMPUTED_VALUE"""),"প্রণোদনা")</f>
        <v>প্রণোদনা</v>
      </c>
      <c r="K266" s="21"/>
      <c r="L266" s="21">
        <f ca="1">IFERROR(__xludf.DUMMYFUNCTION("""COMPUTED_VALUE"""),25.44297)</f>
        <v>25.442969999999999</v>
      </c>
      <c r="M266" s="21">
        <f ca="1">IFERROR(__xludf.DUMMYFUNCTION("""COMPUTED_VALUE"""),89.79102)</f>
        <v>89.791020000000003</v>
      </c>
      <c r="N266" s="21"/>
      <c r="O26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6" s="21" t="str">
        <f ca="1">IFERROR(__xludf.DUMMYFUNCTION("""COMPUTED_VALUE"""),"ফলদ, বনজ")</f>
        <v>ফলদ, বনজ</v>
      </c>
      <c r="Q266" s="21">
        <f ca="1">IFERROR(__xludf.DUMMYFUNCTION("""COMPUTED_VALUE"""),5)</f>
        <v>5</v>
      </c>
      <c r="R266" s="21"/>
      <c r="S266" s="21"/>
      <c r="T266" s="21"/>
      <c r="U266" s="21" t="str">
        <f ca="1">IFERROR(__xludf.DUMMYFUNCTION("""COMPUTED_VALUE"""),"মোছাঃ আফরোজা খাতুন")</f>
        <v>মোছাঃ আফরোজা খাতুন</v>
      </c>
      <c r="V266" s="21" t="str">
        <f ca="1">IFERROR(__xludf.DUMMYFUNCTION("""COMPUTED_VALUE"""),"০১৮৪৫৫৬৪৬৫৫")</f>
        <v>০১৮৪৫৫৬৪৬৫৫</v>
      </c>
      <c r="W266" s="21" t="str">
        <f ca="1">IFERROR(__xludf.DUMMYFUNCTION("""COMPUTED_VALUE"""),"মোঃ মশিউর রহমান
")</f>
        <v xml:space="preserve">মোঃ মশিউর রহমান
</v>
      </c>
      <c r="X266" s="21" t="str">
        <f ca="1">IFERROR(__xludf.DUMMYFUNCTION("""COMPUTED_VALUE"""),"০১৭১২৩৪০৯৯৬")</f>
        <v>০১৭১২৩৪০৯৯৬</v>
      </c>
      <c r="Y266" s="21"/>
      <c r="Z266" s="21"/>
      <c r="AA266" s="21"/>
      <c r="AB266" s="21"/>
      <c r="AC266" s="21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</row>
    <row r="267" spans="1:40" ht="15" customHeight="1" x14ac:dyDescent="0.15">
      <c r="A267" s="25"/>
      <c r="B267" s="25"/>
      <c r="C267" s="25" t="str">
        <f ca="1">IFERROR(__xludf.DUMMYFUNCTION("""COMPUTED_VALUE"""),"রংপুর")</f>
        <v>রংপুর</v>
      </c>
      <c r="D267" s="25" t="str">
        <f ca="1">IFERROR(__xludf.DUMMYFUNCTION("""COMPUTED_VALUE"""),"রংপুর")</f>
        <v>রংপুর</v>
      </c>
      <c r="E267" s="25" t="str">
        <f ca="1">IFERROR(__xludf.DUMMYFUNCTION("""COMPUTED_VALUE"""),"কুড়িগ্রাম")</f>
        <v>কুড়িগ্রাম</v>
      </c>
      <c r="F267" s="25" t="str">
        <f ca="1">IFERROR(__xludf.DUMMYFUNCTION("""COMPUTED_VALUE"""),"চর রাজিবপুর")</f>
        <v>চর রাজিবপুর</v>
      </c>
      <c r="G267" s="25"/>
      <c r="H267" s="25"/>
      <c r="I267" s="25"/>
      <c r="J267" s="25" t="str">
        <f ca="1">IFERROR(__xludf.DUMMYFUNCTION("""COMPUTED_VALUE"""),"প্রণোদনা")</f>
        <v>প্রণোদনা</v>
      </c>
      <c r="K267" s="25"/>
      <c r="L267" s="25">
        <f ca="1">IFERROR(__xludf.DUMMYFUNCTION("""COMPUTED_VALUE"""),25.44292)</f>
        <v>25.442920000000001</v>
      </c>
      <c r="M267" s="25">
        <f ca="1">IFERROR(__xludf.DUMMYFUNCTION("""COMPUTED_VALUE"""),89.791)</f>
        <v>89.790999999999997</v>
      </c>
      <c r="N267" s="25"/>
      <c r="O26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7" s="25" t="str">
        <f ca="1">IFERROR(__xludf.DUMMYFUNCTION("""COMPUTED_VALUE"""),"ফলদ, বনজ")</f>
        <v>ফলদ, বনজ</v>
      </c>
      <c r="Q267" s="25">
        <f ca="1">IFERROR(__xludf.DUMMYFUNCTION("""COMPUTED_VALUE"""),5)</f>
        <v>5</v>
      </c>
      <c r="R267" s="25"/>
      <c r="S267" s="25"/>
      <c r="T267" s="25"/>
      <c r="U267" s="25" t="str">
        <f ca="1">IFERROR(__xludf.DUMMYFUNCTION("""COMPUTED_VALUE"""),"মোঃ হাফিজুর রহমান")</f>
        <v>মোঃ হাফিজুর রহমান</v>
      </c>
      <c r="V267" s="25" t="str">
        <f ca="1">IFERROR(__xludf.DUMMYFUNCTION("""COMPUTED_VALUE"""),"০১৭৪২৭৩৭৭৭১")</f>
        <v>০১৭৪২৭৩৭৭৭১</v>
      </c>
      <c r="W267" s="25" t="str">
        <f ca="1">IFERROR(__xludf.DUMMYFUNCTION("""COMPUTED_VALUE"""),"মোঃ মশিউর রহমান
")</f>
        <v xml:space="preserve">মোঃ মশিউর রহমান
</v>
      </c>
      <c r="X267" s="25" t="str">
        <f ca="1">IFERROR(__xludf.DUMMYFUNCTION("""COMPUTED_VALUE"""),"০১৭১২৩৪০৯৯৬")</f>
        <v>০১৭১২৩৪০৯৯৬</v>
      </c>
      <c r="Y267" s="25"/>
      <c r="Z267" s="25"/>
      <c r="AA267" s="25"/>
      <c r="AB267" s="25"/>
      <c r="AC267" s="25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spans="1:40" ht="15" customHeight="1" x14ac:dyDescent="0.15">
      <c r="A268" s="21"/>
      <c r="B268" s="21"/>
      <c r="C268" s="21" t="str">
        <f ca="1">IFERROR(__xludf.DUMMYFUNCTION("""COMPUTED_VALUE"""),"রংপুর")</f>
        <v>রংপুর</v>
      </c>
      <c r="D268" s="21" t="str">
        <f ca="1">IFERROR(__xludf.DUMMYFUNCTION("""COMPUTED_VALUE"""),"রংপুর")</f>
        <v>রংপুর</v>
      </c>
      <c r="E268" s="21" t="str">
        <f ca="1">IFERROR(__xludf.DUMMYFUNCTION("""COMPUTED_VALUE"""),"কুড়িগ্রাম")</f>
        <v>কুড়িগ্রাম</v>
      </c>
      <c r="F268" s="21" t="str">
        <f ca="1">IFERROR(__xludf.DUMMYFUNCTION("""COMPUTED_VALUE"""),"চর রাজিবপুর")</f>
        <v>চর রাজিবপুর</v>
      </c>
      <c r="G268" s="21"/>
      <c r="H268" s="21"/>
      <c r="I268" s="21"/>
      <c r="J268" s="21" t="str">
        <f ca="1">IFERROR(__xludf.DUMMYFUNCTION("""COMPUTED_VALUE"""),"প্রণোদনা")</f>
        <v>প্রণোদনা</v>
      </c>
      <c r="K268" s="21"/>
      <c r="L268" s="21">
        <f ca="1">IFERROR(__xludf.DUMMYFUNCTION("""COMPUTED_VALUE"""),25.44276)</f>
        <v>25.44276</v>
      </c>
      <c r="M268" s="21">
        <f ca="1">IFERROR(__xludf.DUMMYFUNCTION("""COMPUTED_VALUE"""),89.79085)</f>
        <v>89.790850000000006</v>
      </c>
      <c r="N268" s="21"/>
      <c r="O26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8" s="21" t="str">
        <f ca="1">IFERROR(__xludf.DUMMYFUNCTION("""COMPUTED_VALUE"""),"ফলদ, বনজ")</f>
        <v>ফলদ, বনজ</v>
      </c>
      <c r="Q268" s="21">
        <f ca="1">IFERROR(__xludf.DUMMYFUNCTION("""COMPUTED_VALUE"""),5)</f>
        <v>5</v>
      </c>
      <c r="R268" s="21"/>
      <c r="S268" s="21"/>
      <c r="T268" s="21"/>
      <c r="U268" s="21" t="str">
        <f ca="1">IFERROR(__xludf.DUMMYFUNCTION("""COMPUTED_VALUE"""),"মোঃ হাফিজুর রহমান")</f>
        <v>মোঃ হাফিজুর রহমান</v>
      </c>
      <c r="V268" s="21" t="str">
        <f ca="1">IFERROR(__xludf.DUMMYFUNCTION("""COMPUTED_VALUE"""),"০১৮১০৪২৮৮৫৩")</f>
        <v>০১৮১০৪২৮৮৫৩</v>
      </c>
      <c r="W268" s="21" t="str">
        <f ca="1">IFERROR(__xludf.DUMMYFUNCTION("""COMPUTED_VALUE"""),"মোঃ মশিউর রহমান
")</f>
        <v xml:space="preserve">মোঃ মশিউর রহমান
</v>
      </c>
      <c r="X268" s="21" t="str">
        <f ca="1">IFERROR(__xludf.DUMMYFUNCTION("""COMPUTED_VALUE"""),"০১৭১২৩৪০৯৯৬")</f>
        <v>০১৭১২৩৪০৯৯৬</v>
      </c>
      <c r="Y268" s="21"/>
      <c r="Z268" s="21"/>
      <c r="AA268" s="21"/>
      <c r="AB268" s="21"/>
      <c r="AC268" s="21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</row>
    <row r="269" spans="1:40" ht="15" customHeight="1" x14ac:dyDescent="0.15">
      <c r="A269" s="25"/>
      <c r="B269" s="25"/>
      <c r="C269" s="25" t="str">
        <f ca="1">IFERROR(__xludf.DUMMYFUNCTION("""COMPUTED_VALUE"""),"রংপুর")</f>
        <v>রংপুর</v>
      </c>
      <c r="D269" s="25" t="str">
        <f ca="1">IFERROR(__xludf.DUMMYFUNCTION("""COMPUTED_VALUE"""),"রংপুর")</f>
        <v>রংপুর</v>
      </c>
      <c r="E269" s="25" t="str">
        <f ca="1">IFERROR(__xludf.DUMMYFUNCTION("""COMPUTED_VALUE"""),"কুড়িগ্রাম")</f>
        <v>কুড়িগ্রাম</v>
      </c>
      <c r="F269" s="25" t="str">
        <f ca="1">IFERROR(__xludf.DUMMYFUNCTION("""COMPUTED_VALUE"""),"চর রাজিবপুর")</f>
        <v>চর রাজিবপুর</v>
      </c>
      <c r="G269" s="25"/>
      <c r="H269" s="25"/>
      <c r="I269" s="25"/>
      <c r="J269" s="25" t="str">
        <f ca="1">IFERROR(__xludf.DUMMYFUNCTION("""COMPUTED_VALUE"""),"প্রণোদনা")</f>
        <v>প্রণোদনা</v>
      </c>
      <c r="K269" s="25"/>
      <c r="L269" s="25">
        <f ca="1">IFERROR(__xludf.DUMMYFUNCTION("""COMPUTED_VALUE"""),25.44268)</f>
        <v>25.442679999999999</v>
      </c>
      <c r="M269" s="25">
        <f ca="1">IFERROR(__xludf.DUMMYFUNCTION("""COMPUTED_VALUE"""),89.79083)</f>
        <v>89.79083</v>
      </c>
      <c r="N269" s="25"/>
      <c r="O26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9" s="25" t="str">
        <f ca="1">IFERROR(__xludf.DUMMYFUNCTION("""COMPUTED_VALUE"""),"ফলদ, বনজ")</f>
        <v>ফলদ, বনজ</v>
      </c>
      <c r="Q269" s="25">
        <f ca="1">IFERROR(__xludf.DUMMYFUNCTION("""COMPUTED_VALUE"""),5)</f>
        <v>5</v>
      </c>
      <c r="R269" s="25"/>
      <c r="S269" s="25"/>
      <c r="T269" s="25"/>
      <c r="U269" s="25" t="str">
        <f ca="1">IFERROR(__xludf.DUMMYFUNCTION("""COMPUTED_VALUE"""),"মোঃ ফরহাদ হোসেন")</f>
        <v>মোঃ ফরহাদ হোসেন</v>
      </c>
      <c r="V269" s="25" t="str">
        <f ca="1">IFERROR(__xludf.DUMMYFUNCTION("""COMPUTED_VALUE"""),"০১৮২৩৩০৫৪৬৪")</f>
        <v>০১৮২৩৩০৫৪৬৪</v>
      </c>
      <c r="W269" s="25" t="str">
        <f ca="1">IFERROR(__xludf.DUMMYFUNCTION("""COMPUTED_VALUE"""),"মোঃ মশিউর রহমান
")</f>
        <v xml:space="preserve">মোঃ মশিউর রহমান
</v>
      </c>
      <c r="X269" s="25" t="str">
        <f ca="1">IFERROR(__xludf.DUMMYFUNCTION("""COMPUTED_VALUE"""),"০১৭১২৩৪০৯৯৬")</f>
        <v>০১৭১২৩৪০৯৯৬</v>
      </c>
      <c r="Y269" s="25"/>
      <c r="Z269" s="25"/>
      <c r="AA269" s="25"/>
      <c r="AB269" s="25"/>
      <c r="AC269" s="25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spans="1:40" ht="15" customHeight="1" x14ac:dyDescent="0.15">
      <c r="A270" s="21"/>
      <c r="B270" s="21"/>
      <c r="C270" s="21" t="str">
        <f ca="1">IFERROR(__xludf.DUMMYFUNCTION("""COMPUTED_VALUE"""),"রংপুর")</f>
        <v>রংপুর</v>
      </c>
      <c r="D270" s="21" t="str">
        <f ca="1">IFERROR(__xludf.DUMMYFUNCTION("""COMPUTED_VALUE"""),"রংপুর")</f>
        <v>রংপুর</v>
      </c>
      <c r="E270" s="21" t="str">
        <f ca="1">IFERROR(__xludf.DUMMYFUNCTION("""COMPUTED_VALUE"""),"কুড়িগ্রাম")</f>
        <v>কুড়িগ্রাম</v>
      </c>
      <c r="F270" s="21" t="str">
        <f ca="1">IFERROR(__xludf.DUMMYFUNCTION("""COMPUTED_VALUE"""),"চর রাজিবপুর")</f>
        <v>চর রাজিবপুর</v>
      </c>
      <c r="G270" s="21"/>
      <c r="H270" s="21"/>
      <c r="I270" s="21"/>
      <c r="J270" s="21" t="str">
        <f ca="1">IFERROR(__xludf.DUMMYFUNCTION("""COMPUTED_VALUE"""),"প্রণোদনা")</f>
        <v>প্রণোদনা</v>
      </c>
      <c r="K270" s="21"/>
      <c r="L270" s="21">
        <f ca="1">IFERROR(__xludf.DUMMYFUNCTION("""COMPUTED_VALUE"""),25.44275)</f>
        <v>25.44275</v>
      </c>
      <c r="M270" s="21">
        <f ca="1">IFERROR(__xludf.DUMMYFUNCTION("""COMPUTED_VALUE"""),89.79072)</f>
        <v>89.790719999999993</v>
      </c>
      <c r="N270" s="21"/>
      <c r="O27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0" s="21" t="str">
        <f ca="1">IFERROR(__xludf.DUMMYFUNCTION("""COMPUTED_VALUE"""),"ফলদ, বনজ")</f>
        <v>ফলদ, বনজ</v>
      </c>
      <c r="Q270" s="21">
        <f ca="1">IFERROR(__xludf.DUMMYFUNCTION("""COMPUTED_VALUE"""),5)</f>
        <v>5</v>
      </c>
      <c r="R270" s="21"/>
      <c r="S270" s="21"/>
      <c r="T270" s="21"/>
      <c r="U270" s="21" t="str">
        <f ca="1">IFERROR(__xludf.DUMMYFUNCTION("""COMPUTED_VALUE"""),"মোছাঃ সাজেদা খাতুন")</f>
        <v>মোছাঃ সাজেদা খাতুন</v>
      </c>
      <c r="V270" s="21" t="str">
        <f ca="1">IFERROR(__xludf.DUMMYFUNCTION("""COMPUTED_VALUE"""),"০১৮৭৮৪৫১৩৮৭")</f>
        <v>০১৮৭৮৪৫১৩৮৭</v>
      </c>
      <c r="W270" s="21" t="str">
        <f ca="1">IFERROR(__xludf.DUMMYFUNCTION("""COMPUTED_VALUE"""),"মোঃ মশিউর রহমান
")</f>
        <v xml:space="preserve">মোঃ মশিউর রহমান
</v>
      </c>
      <c r="X270" s="21" t="str">
        <f ca="1">IFERROR(__xludf.DUMMYFUNCTION("""COMPUTED_VALUE"""),"০১৭১২৩৪০৯৯৬")</f>
        <v>০১৭১২৩৪০৯৯৬</v>
      </c>
      <c r="Y270" s="21"/>
      <c r="Z270" s="21"/>
      <c r="AA270" s="21"/>
      <c r="AB270" s="21"/>
      <c r="AC270" s="21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</row>
    <row r="271" spans="1:40" ht="15" customHeight="1" x14ac:dyDescent="0.15">
      <c r="A271" s="25"/>
      <c r="B271" s="25"/>
      <c r="C271" s="25" t="str">
        <f ca="1">IFERROR(__xludf.DUMMYFUNCTION("""COMPUTED_VALUE"""),"রংপুর")</f>
        <v>রংপুর</v>
      </c>
      <c r="D271" s="25" t="str">
        <f ca="1">IFERROR(__xludf.DUMMYFUNCTION("""COMPUTED_VALUE"""),"রংপুর")</f>
        <v>রংপুর</v>
      </c>
      <c r="E271" s="25" t="str">
        <f ca="1">IFERROR(__xludf.DUMMYFUNCTION("""COMPUTED_VALUE"""),"কুড়িগ্রাম")</f>
        <v>কুড়িগ্রাম</v>
      </c>
      <c r="F271" s="25" t="str">
        <f ca="1">IFERROR(__xludf.DUMMYFUNCTION("""COMPUTED_VALUE"""),"চর রাজিবপুর")</f>
        <v>চর রাজিবপুর</v>
      </c>
      <c r="G271" s="25"/>
      <c r="H271" s="25"/>
      <c r="I271" s="25"/>
      <c r="J271" s="25" t="str">
        <f ca="1">IFERROR(__xludf.DUMMYFUNCTION("""COMPUTED_VALUE"""),"প্রণোদনা")</f>
        <v>প্রণোদনা</v>
      </c>
      <c r="K271" s="25"/>
      <c r="L271" s="25">
        <f ca="1">IFERROR(__xludf.DUMMYFUNCTION("""COMPUTED_VALUE"""),25.40475)</f>
        <v>25.40475</v>
      </c>
      <c r="M271" s="25">
        <f ca="1">IFERROR(__xludf.DUMMYFUNCTION("""COMPUTED_VALUE"""),89.76402)</f>
        <v>89.764020000000002</v>
      </c>
      <c r="N271" s="25"/>
      <c r="O27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1" s="25" t="str">
        <f ca="1">IFERROR(__xludf.DUMMYFUNCTION("""COMPUTED_VALUE"""),"ফলদ, বনজ")</f>
        <v>ফলদ, বনজ</v>
      </c>
      <c r="Q271" s="25">
        <f ca="1">IFERROR(__xludf.DUMMYFUNCTION("""COMPUTED_VALUE"""),5)</f>
        <v>5</v>
      </c>
      <c r="R271" s="25"/>
      <c r="S271" s="25"/>
      <c r="T271" s="25"/>
      <c r="U271" s="25" t="str">
        <f ca="1">IFERROR(__xludf.DUMMYFUNCTION("""COMPUTED_VALUE"""),"মোঃ এরশাদ হোসেন")</f>
        <v>মোঃ এরশাদ হোসেন</v>
      </c>
      <c r="V271" s="25" t="str">
        <f ca="1">IFERROR(__xludf.DUMMYFUNCTION("""COMPUTED_VALUE"""),"০১৩২৫১২৫৮১৭")</f>
        <v>০১৩২৫১২৫৮১৭</v>
      </c>
      <c r="W271" s="25" t="str">
        <f ca="1">IFERROR(__xludf.DUMMYFUNCTION("""COMPUTED_VALUE"""),"মোঃ মশিউর রহমান
")</f>
        <v xml:space="preserve">মোঃ মশিউর রহমান
</v>
      </c>
      <c r="X271" s="25" t="str">
        <f ca="1">IFERROR(__xludf.DUMMYFUNCTION("""COMPUTED_VALUE"""),"০১৭১২৩৪০৯৯৬")</f>
        <v>০১৭১২৩৪০৯৯৬</v>
      </c>
      <c r="Y271" s="25"/>
      <c r="Z271" s="25"/>
      <c r="AA271" s="25"/>
      <c r="AB271" s="25"/>
      <c r="AC271" s="25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spans="1:40" ht="15" customHeight="1" x14ac:dyDescent="0.15">
      <c r="A272" s="21"/>
      <c r="B272" s="21"/>
      <c r="C272" s="21" t="str">
        <f ca="1">IFERROR(__xludf.DUMMYFUNCTION("""COMPUTED_VALUE"""),"রংপুর")</f>
        <v>রংপুর</v>
      </c>
      <c r="D272" s="21" t="str">
        <f ca="1">IFERROR(__xludf.DUMMYFUNCTION("""COMPUTED_VALUE"""),"রংপুর")</f>
        <v>রংপুর</v>
      </c>
      <c r="E272" s="21" t="str">
        <f ca="1">IFERROR(__xludf.DUMMYFUNCTION("""COMPUTED_VALUE"""),"কুড়িগ্রাম")</f>
        <v>কুড়িগ্রাম</v>
      </c>
      <c r="F272" s="21" t="str">
        <f ca="1">IFERROR(__xludf.DUMMYFUNCTION("""COMPUTED_VALUE"""),"চর রাজিবপুর")</f>
        <v>চর রাজিবপুর</v>
      </c>
      <c r="G272" s="21"/>
      <c r="H272" s="21"/>
      <c r="I272" s="21"/>
      <c r="J272" s="21" t="str">
        <f ca="1">IFERROR(__xludf.DUMMYFUNCTION("""COMPUTED_VALUE"""),"প্রণোদনা")</f>
        <v>প্রণোদনা</v>
      </c>
      <c r="K272" s="21"/>
      <c r="L272" s="21">
        <f ca="1">IFERROR(__xludf.DUMMYFUNCTION("""COMPUTED_VALUE"""),25.40475)</f>
        <v>25.40475</v>
      </c>
      <c r="M272" s="21">
        <f ca="1">IFERROR(__xludf.DUMMYFUNCTION("""COMPUTED_VALUE"""),89.76399)</f>
        <v>89.763990000000007</v>
      </c>
      <c r="N272" s="21"/>
      <c r="O27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2" s="21" t="str">
        <f ca="1">IFERROR(__xludf.DUMMYFUNCTION("""COMPUTED_VALUE"""),"ফলদ, বনজ")</f>
        <v>ফলদ, বনজ</v>
      </c>
      <c r="Q272" s="21">
        <f ca="1">IFERROR(__xludf.DUMMYFUNCTION("""COMPUTED_VALUE"""),5)</f>
        <v>5</v>
      </c>
      <c r="R272" s="21"/>
      <c r="S272" s="21"/>
      <c r="T272" s="21"/>
      <c r="U272" s="21" t="str">
        <f ca="1">IFERROR(__xludf.DUMMYFUNCTION("""COMPUTED_VALUE"""),"মোঃ মিজানুর রহমান")</f>
        <v>মোঃ মিজানুর রহমান</v>
      </c>
      <c r="V272" s="21" t="str">
        <f ca="1">IFERROR(__xludf.DUMMYFUNCTION("""COMPUTED_VALUE"""),"০১৭২১২১৭৬১৮")</f>
        <v>০১৭২১২১৭৬১৮</v>
      </c>
      <c r="W272" s="21" t="str">
        <f ca="1">IFERROR(__xludf.DUMMYFUNCTION("""COMPUTED_VALUE"""),"মোঃ মশিউর রহমান
")</f>
        <v xml:space="preserve">মোঃ মশিউর রহমান
</v>
      </c>
      <c r="X272" s="21" t="str">
        <f ca="1">IFERROR(__xludf.DUMMYFUNCTION("""COMPUTED_VALUE"""),"০১৭১২৩৪০৯৯৬")</f>
        <v>০১৭১২৩৪০৯৯৬</v>
      </c>
      <c r="Y272" s="21"/>
      <c r="Z272" s="21"/>
      <c r="AA272" s="21"/>
      <c r="AB272" s="21"/>
      <c r="AC272" s="21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</row>
    <row r="273" spans="1:40" ht="15" customHeight="1" x14ac:dyDescent="0.15">
      <c r="A273" s="25"/>
      <c r="B273" s="25"/>
      <c r="C273" s="25" t="str">
        <f ca="1">IFERROR(__xludf.DUMMYFUNCTION("""COMPUTED_VALUE"""),"রংপুর")</f>
        <v>রংপুর</v>
      </c>
      <c r="D273" s="25" t="str">
        <f ca="1">IFERROR(__xludf.DUMMYFUNCTION("""COMPUTED_VALUE"""),"রংপুর")</f>
        <v>রংপুর</v>
      </c>
      <c r="E273" s="25" t="str">
        <f ca="1">IFERROR(__xludf.DUMMYFUNCTION("""COMPUTED_VALUE"""),"কুড়িগ্রাম")</f>
        <v>কুড়িগ্রাম</v>
      </c>
      <c r="F273" s="25" t="str">
        <f ca="1">IFERROR(__xludf.DUMMYFUNCTION("""COMPUTED_VALUE"""),"চর রাজিবপুর")</f>
        <v>চর রাজিবপুর</v>
      </c>
      <c r="G273" s="25"/>
      <c r="H273" s="25"/>
      <c r="I273" s="25"/>
      <c r="J273" s="25" t="str">
        <f ca="1">IFERROR(__xludf.DUMMYFUNCTION("""COMPUTED_VALUE"""),"প্রণোদনা")</f>
        <v>প্রণোদনা</v>
      </c>
      <c r="K273" s="25"/>
      <c r="L273" s="25">
        <f ca="1">IFERROR(__xludf.DUMMYFUNCTION("""COMPUTED_VALUE"""),25.40472)</f>
        <v>25.404720000000001</v>
      </c>
      <c r="M273" s="25">
        <f ca="1">IFERROR(__xludf.DUMMYFUNCTION("""COMPUTED_VALUE"""),89.76398)</f>
        <v>89.763980000000004</v>
      </c>
      <c r="N273" s="25"/>
      <c r="O27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3" s="25" t="str">
        <f ca="1">IFERROR(__xludf.DUMMYFUNCTION("""COMPUTED_VALUE"""),"ফলদ, বনজ")</f>
        <v>ফলদ, বনজ</v>
      </c>
      <c r="Q273" s="25">
        <f ca="1">IFERROR(__xludf.DUMMYFUNCTION("""COMPUTED_VALUE"""),5)</f>
        <v>5</v>
      </c>
      <c r="R273" s="25"/>
      <c r="S273" s="25"/>
      <c r="T273" s="25"/>
      <c r="U273" s="25" t="str">
        <f ca="1">IFERROR(__xludf.DUMMYFUNCTION("""COMPUTED_VALUE"""),"মোঃ নুরজাহান")</f>
        <v>মোঃ নুরজাহান</v>
      </c>
      <c r="V273" s="25" t="str">
        <f ca="1">IFERROR(__xludf.DUMMYFUNCTION("""COMPUTED_VALUE"""),"০১৮৭৮৪৪৩৯৯৩")</f>
        <v>০১৮৭৮৪৪৩৯৯৩</v>
      </c>
      <c r="W273" s="25" t="str">
        <f ca="1">IFERROR(__xludf.DUMMYFUNCTION("""COMPUTED_VALUE"""),"মোঃ মশিউর রহমান
")</f>
        <v xml:space="preserve">মোঃ মশিউর রহমান
</v>
      </c>
      <c r="X273" s="25" t="str">
        <f ca="1">IFERROR(__xludf.DUMMYFUNCTION("""COMPUTED_VALUE"""),"০১৭১২৩৪০৯৯৬")</f>
        <v>০১৭১২৩৪০৯৯৬</v>
      </c>
      <c r="Y273" s="25"/>
      <c r="Z273" s="25"/>
      <c r="AA273" s="25"/>
      <c r="AB273" s="25"/>
      <c r="AC273" s="25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spans="1:40" ht="15" customHeight="1" x14ac:dyDescent="0.15">
      <c r="A274" s="21"/>
      <c r="B274" s="21"/>
      <c r="C274" s="21" t="str">
        <f ca="1">IFERROR(__xludf.DUMMYFUNCTION("""COMPUTED_VALUE"""),"রংপুর")</f>
        <v>রংপুর</v>
      </c>
      <c r="D274" s="21" t="str">
        <f ca="1">IFERROR(__xludf.DUMMYFUNCTION("""COMPUTED_VALUE"""),"রংপুর")</f>
        <v>রংপুর</v>
      </c>
      <c r="E274" s="21" t="str">
        <f ca="1">IFERROR(__xludf.DUMMYFUNCTION("""COMPUTED_VALUE"""),"কুড়িগ্রাম")</f>
        <v>কুড়িগ্রাম</v>
      </c>
      <c r="F274" s="21" t="str">
        <f ca="1">IFERROR(__xludf.DUMMYFUNCTION("""COMPUTED_VALUE"""),"চর রাজিবপুর")</f>
        <v>চর রাজিবপুর</v>
      </c>
      <c r="G274" s="21"/>
      <c r="H274" s="21"/>
      <c r="I274" s="21"/>
      <c r="J274" s="21" t="str">
        <f ca="1">IFERROR(__xludf.DUMMYFUNCTION("""COMPUTED_VALUE"""),"প্রণোদনা")</f>
        <v>প্রণোদনা</v>
      </c>
      <c r="K274" s="21"/>
      <c r="L274" s="21">
        <f ca="1">IFERROR(__xludf.DUMMYFUNCTION("""COMPUTED_VALUE"""),25.40472)</f>
        <v>25.404720000000001</v>
      </c>
      <c r="M274" s="21">
        <f ca="1">IFERROR(__xludf.DUMMYFUNCTION("""COMPUTED_VALUE"""),89.76397)</f>
        <v>89.76397</v>
      </c>
      <c r="N274" s="21"/>
      <c r="O27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4" s="21" t="str">
        <f ca="1">IFERROR(__xludf.DUMMYFUNCTION("""COMPUTED_VALUE"""),"ফলদ, বনজ")</f>
        <v>ফলদ, বনজ</v>
      </c>
      <c r="Q274" s="21">
        <f ca="1">IFERROR(__xludf.DUMMYFUNCTION("""COMPUTED_VALUE"""),5)</f>
        <v>5</v>
      </c>
      <c r="R274" s="21"/>
      <c r="S274" s="21"/>
      <c r="T274" s="21"/>
      <c r="U274" s="21" t="str">
        <f ca="1">IFERROR(__xludf.DUMMYFUNCTION("""COMPUTED_VALUE"""),"মোঃ ফরিদুল ইসলাম")</f>
        <v>মোঃ ফরিদুল ইসলাম</v>
      </c>
      <c r="V274" s="21" t="str">
        <f ca="1">IFERROR(__xludf.DUMMYFUNCTION("""COMPUTED_VALUE"""),"০১৩২৫১২৫৮১৭")</f>
        <v>০১৩২৫১২৫৮১৭</v>
      </c>
      <c r="W274" s="21" t="str">
        <f ca="1">IFERROR(__xludf.DUMMYFUNCTION("""COMPUTED_VALUE"""),"মোঃ মশিউর রহমান
")</f>
        <v xml:space="preserve">মোঃ মশিউর রহমান
</v>
      </c>
      <c r="X274" s="21" t="str">
        <f ca="1">IFERROR(__xludf.DUMMYFUNCTION("""COMPUTED_VALUE"""),"০১৭১২৩৪০৯৯৬")</f>
        <v>০১৭১২৩৪০৯৯৬</v>
      </c>
      <c r="Y274" s="21"/>
      <c r="Z274" s="21"/>
      <c r="AA274" s="21"/>
      <c r="AB274" s="21"/>
      <c r="AC274" s="21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</row>
    <row r="275" spans="1:40" ht="15" customHeight="1" x14ac:dyDescent="0.15">
      <c r="A275" s="25"/>
      <c r="B275" s="25"/>
      <c r="C275" s="25" t="str">
        <f ca="1">IFERROR(__xludf.DUMMYFUNCTION("""COMPUTED_VALUE"""),"রংপুর")</f>
        <v>রংপুর</v>
      </c>
      <c r="D275" s="25" t="str">
        <f ca="1">IFERROR(__xludf.DUMMYFUNCTION("""COMPUTED_VALUE"""),"রংপুর")</f>
        <v>রংপুর</v>
      </c>
      <c r="E275" s="25" t="str">
        <f ca="1">IFERROR(__xludf.DUMMYFUNCTION("""COMPUTED_VALUE"""),"কুড়িগ্রাম")</f>
        <v>কুড়িগ্রাম</v>
      </c>
      <c r="F275" s="25" t="str">
        <f ca="1">IFERROR(__xludf.DUMMYFUNCTION("""COMPUTED_VALUE"""),"চর রাজিবপুর")</f>
        <v>চর রাজিবপুর</v>
      </c>
      <c r="G275" s="25"/>
      <c r="H275" s="25"/>
      <c r="I275" s="25"/>
      <c r="J275" s="25" t="str">
        <f ca="1">IFERROR(__xludf.DUMMYFUNCTION("""COMPUTED_VALUE"""),"প্রণোদনা")</f>
        <v>প্রণোদনা</v>
      </c>
      <c r="K275" s="25"/>
      <c r="L275" s="25">
        <f ca="1">IFERROR(__xludf.DUMMYFUNCTION("""COMPUTED_VALUE"""),25.40477)</f>
        <v>25.404769999999999</v>
      </c>
      <c r="M275" s="25">
        <f ca="1">IFERROR(__xludf.DUMMYFUNCTION("""COMPUTED_VALUE"""),89.76394)</f>
        <v>89.763940000000005</v>
      </c>
      <c r="N275" s="25"/>
      <c r="O27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5" s="25" t="str">
        <f ca="1">IFERROR(__xludf.DUMMYFUNCTION("""COMPUTED_VALUE"""),"ফলদ, বনজ")</f>
        <v>ফলদ, বনজ</v>
      </c>
      <c r="Q275" s="25">
        <f ca="1">IFERROR(__xludf.DUMMYFUNCTION("""COMPUTED_VALUE"""),5)</f>
        <v>5</v>
      </c>
      <c r="R275" s="25"/>
      <c r="S275" s="25"/>
      <c r="T275" s="25"/>
      <c r="U275" s="25" t="str">
        <f ca="1">IFERROR(__xludf.DUMMYFUNCTION("""COMPUTED_VALUE"""),"মোছাঃ আলুফা")</f>
        <v>মোছাঃ আলুফা</v>
      </c>
      <c r="V275" s="25" t="str">
        <f ca="1">IFERROR(__xludf.DUMMYFUNCTION("""COMPUTED_VALUE"""),"০১৭২১২১৭৬১৮")</f>
        <v>০১৭২১২১৭৬১৮</v>
      </c>
      <c r="W275" s="25" t="str">
        <f ca="1">IFERROR(__xludf.DUMMYFUNCTION("""COMPUTED_VALUE"""),"মোঃ মশিউর রহমান
")</f>
        <v xml:space="preserve">মোঃ মশিউর রহমান
</v>
      </c>
      <c r="X275" s="25" t="str">
        <f ca="1">IFERROR(__xludf.DUMMYFUNCTION("""COMPUTED_VALUE"""),"০১৭১২৩৪০৯৯৬")</f>
        <v>০১৭১২৩৪০৯৯৬</v>
      </c>
      <c r="Y275" s="25"/>
      <c r="Z275" s="25"/>
      <c r="AA275" s="25"/>
      <c r="AB275" s="25"/>
      <c r="AC275" s="25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spans="1:40" ht="15" customHeight="1" x14ac:dyDescent="0.15">
      <c r="A276" s="21"/>
      <c r="B276" s="21"/>
      <c r="C276" s="21" t="str">
        <f ca="1">IFERROR(__xludf.DUMMYFUNCTION("""COMPUTED_VALUE"""),"রংপুর")</f>
        <v>রংপুর</v>
      </c>
      <c r="D276" s="21" t="str">
        <f ca="1">IFERROR(__xludf.DUMMYFUNCTION("""COMPUTED_VALUE"""),"রংপুর")</f>
        <v>রংপুর</v>
      </c>
      <c r="E276" s="21" t="str">
        <f ca="1">IFERROR(__xludf.DUMMYFUNCTION("""COMPUTED_VALUE"""),"কুড়িগ্রাম")</f>
        <v>কুড়িগ্রাম</v>
      </c>
      <c r="F276" s="21" t="str">
        <f ca="1">IFERROR(__xludf.DUMMYFUNCTION("""COMPUTED_VALUE"""),"চর রাজিবপুর")</f>
        <v>চর রাজিবপুর</v>
      </c>
      <c r="G276" s="21"/>
      <c r="H276" s="21"/>
      <c r="I276" s="21"/>
      <c r="J276" s="21" t="str">
        <f ca="1">IFERROR(__xludf.DUMMYFUNCTION("""COMPUTED_VALUE"""),"প্রণোদনা")</f>
        <v>প্রণোদনা</v>
      </c>
      <c r="K276" s="21"/>
      <c r="L276" s="21">
        <f ca="1">IFERROR(__xludf.DUMMYFUNCTION("""COMPUTED_VALUE"""),25.40479)</f>
        <v>25.404789999999998</v>
      </c>
      <c r="M276" s="21">
        <f ca="1">IFERROR(__xludf.DUMMYFUNCTION("""COMPUTED_VALUE"""),89.76355)</f>
        <v>89.763549999999995</v>
      </c>
      <c r="N276" s="21"/>
      <c r="O27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6" s="21" t="str">
        <f ca="1">IFERROR(__xludf.DUMMYFUNCTION("""COMPUTED_VALUE"""),"ফলদ, বনজ")</f>
        <v>ফলদ, বনজ</v>
      </c>
      <c r="Q276" s="21">
        <f ca="1">IFERROR(__xludf.DUMMYFUNCTION("""COMPUTED_VALUE"""),5)</f>
        <v>5</v>
      </c>
      <c r="R276" s="21"/>
      <c r="S276" s="21"/>
      <c r="T276" s="21"/>
      <c r="U276" s="21" t="str">
        <f ca="1">IFERROR(__xludf.DUMMYFUNCTION("""COMPUTED_VALUE"""),"মোছাঃ জাহানারা খাতুন")</f>
        <v>মোছাঃ জাহানারা খাতুন</v>
      </c>
      <c r="V276" s="21" t="str">
        <f ca="1">IFERROR(__xludf.DUMMYFUNCTION("""COMPUTED_VALUE"""),"০১৮৭৮৪৪৩৯৯৩")</f>
        <v>০১৮৭৮৪৪৩৯৯৩</v>
      </c>
      <c r="W276" s="21" t="str">
        <f ca="1">IFERROR(__xludf.DUMMYFUNCTION("""COMPUTED_VALUE"""),"মোঃ মশিউর রহমান
")</f>
        <v xml:space="preserve">মোঃ মশিউর রহমান
</v>
      </c>
      <c r="X276" s="21" t="str">
        <f ca="1">IFERROR(__xludf.DUMMYFUNCTION("""COMPUTED_VALUE"""),"০১৭১২৩৪০৯৯৬")</f>
        <v>০১৭১২৩৪০৯৯৬</v>
      </c>
      <c r="Y276" s="21"/>
      <c r="Z276" s="21"/>
      <c r="AA276" s="21"/>
      <c r="AB276" s="21"/>
      <c r="AC276" s="21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</row>
    <row r="277" spans="1:40" ht="15" customHeight="1" x14ac:dyDescent="0.15">
      <c r="A277" s="25"/>
      <c r="B277" s="25"/>
      <c r="C277" s="25" t="str">
        <f ca="1">IFERROR(__xludf.DUMMYFUNCTION("""COMPUTED_VALUE"""),"রংপুর")</f>
        <v>রংপুর</v>
      </c>
      <c r="D277" s="25" t="str">
        <f ca="1">IFERROR(__xludf.DUMMYFUNCTION("""COMPUTED_VALUE"""),"রংপুর")</f>
        <v>রংপুর</v>
      </c>
      <c r="E277" s="25" t="str">
        <f ca="1">IFERROR(__xludf.DUMMYFUNCTION("""COMPUTED_VALUE"""),"কুড়িগ্রাম")</f>
        <v>কুড়িগ্রাম</v>
      </c>
      <c r="F277" s="25" t="str">
        <f ca="1">IFERROR(__xludf.DUMMYFUNCTION("""COMPUTED_VALUE"""),"চর রাজিবপুর")</f>
        <v>চর রাজিবপুর</v>
      </c>
      <c r="G277" s="25"/>
      <c r="H277" s="25"/>
      <c r="I277" s="25"/>
      <c r="J277" s="25" t="str">
        <f ca="1">IFERROR(__xludf.DUMMYFUNCTION("""COMPUTED_VALUE"""),"প্রণোদনা")</f>
        <v>প্রণোদনা</v>
      </c>
      <c r="K277" s="25"/>
      <c r="L277" s="25">
        <f ca="1">IFERROR(__xludf.DUMMYFUNCTION("""COMPUTED_VALUE"""),25.40477)</f>
        <v>25.404769999999999</v>
      </c>
      <c r="M277" s="25">
        <f ca="1">IFERROR(__xludf.DUMMYFUNCTION("""COMPUTED_VALUE"""),89.76394)</f>
        <v>89.763940000000005</v>
      </c>
      <c r="N277" s="25"/>
      <c r="O27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7" s="25" t="str">
        <f ca="1">IFERROR(__xludf.DUMMYFUNCTION("""COMPUTED_VALUE"""),"ফলদ, বনজ")</f>
        <v>ফলদ, বনজ</v>
      </c>
      <c r="Q277" s="25">
        <f ca="1">IFERROR(__xludf.DUMMYFUNCTION("""COMPUTED_VALUE"""),5)</f>
        <v>5</v>
      </c>
      <c r="R277" s="25"/>
      <c r="S277" s="25"/>
      <c r="T277" s="25"/>
      <c r="U277" s="25" t="str">
        <f ca="1">IFERROR(__xludf.DUMMYFUNCTION("""COMPUTED_VALUE"""),"মোঃ চান মিয়া")</f>
        <v>মোঃ চান মিয়া</v>
      </c>
      <c r="V277" s="25" t="str">
        <f ca="1">IFERROR(__xludf.DUMMYFUNCTION("""COMPUTED_VALUE"""),"০১৯৮২৯১৫৯৭৫")</f>
        <v>০১৯৮২৯১৫৯৭৫</v>
      </c>
      <c r="W277" s="25" t="str">
        <f ca="1">IFERROR(__xludf.DUMMYFUNCTION("""COMPUTED_VALUE"""),"মোঃ মশিউর রহমান
")</f>
        <v xml:space="preserve">মোঃ মশিউর রহমান
</v>
      </c>
      <c r="X277" s="25" t="str">
        <f ca="1">IFERROR(__xludf.DUMMYFUNCTION("""COMPUTED_VALUE"""),"০১৭১২৩৪০৯৯৬")</f>
        <v>০১৭১২৩৪০৯৯৬</v>
      </c>
      <c r="Y277" s="25"/>
      <c r="Z277" s="25"/>
      <c r="AA277" s="25"/>
      <c r="AB277" s="25"/>
      <c r="AC277" s="25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spans="1:40" ht="15" customHeight="1" x14ac:dyDescent="0.15">
      <c r="A278" s="21"/>
      <c r="B278" s="21"/>
      <c r="C278" s="21" t="str">
        <f ca="1">IFERROR(__xludf.DUMMYFUNCTION("""COMPUTED_VALUE"""),"রংপুর")</f>
        <v>রংপুর</v>
      </c>
      <c r="D278" s="21" t="str">
        <f ca="1">IFERROR(__xludf.DUMMYFUNCTION("""COMPUTED_VALUE"""),"রংপুর")</f>
        <v>রংপুর</v>
      </c>
      <c r="E278" s="21" t="str">
        <f ca="1">IFERROR(__xludf.DUMMYFUNCTION("""COMPUTED_VALUE"""),"কুড়িগ্রাম")</f>
        <v>কুড়িগ্রাম</v>
      </c>
      <c r="F278" s="21" t="str">
        <f ca="1">IFERROR(__xludf.DUMMYFUNCTION("""COMPUTED_VALUE"""),"চর রাজিবপুর")</f>
        <v>চর রাজিবপুর</v>
      </c>
      <c r="G278" s="21"/>
      <c r="H278" s="21"/>
      <c r="I278" s="21"/>
      <c r="J278" s="21" t="str">
        <f ca="1">IFERROR(__xludf.DUMMYFUNCTION("""COMPUTED_VALUE"""),"প্রণোদনা")</f>
        <v>প্রণোদনা</v>
      </c>
      <c r="K278" s="21"/>
      <c r="L278" s="21">
        <f ca="1">IFERROR(__xludf.DUMMYFUNCTION("""COMPUTED_VALUE"""),25.40468)</f>
        <v>25.404679999999999</v>
      </c>
      <c r="M278" s="21">
        <f ca="1">IFERROR(__xludf.DUMMYFUNCTION("""COMPUTED_VALUE"""),89.76395)</f>
        <v>89.763949999999994</v>
      </c>
      <c r="N278" s="21"/>
      <c r="O27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8" s="21" t="str">
        <f ca="1">IFERROR(__xludf.DUMMYFUNCTION("""COMPUTED_VALUE"""),"ফলদ, বনজ")</f>
        <v>ফলদ, বনজ</v>
      </c>
      <c r="Q278" s="21">
        <f ca="1">IFERROR(__xludf.DUMMYFUNCTION("""COMPUTED_VALUE"""),5)</f>
        <v>5</v>
      </c>
      <c r="R278" s="21"/>
      <c r="S278" s="21"/>
      <c r="T278" s="21"/>
      <c r="U278" s="21" t="str">
        <f ca="1">IFERROR(__xludf.DUMMYFUNCTION("""COMPUTED_VALUE"""),"মোছাঃ আসমা খাতুন")</f>
        <v>মোছাঃ আসমা খাতুন</v>
      </c>
      <c r="V278" s="21" t="str">
        <f ca="1">IFERROR(__xludf.DUMMYFUNCTION("""COMPUTED_VALUE"""),"০১৩০৫৪৫৫৮৪২")</f>
        <v>০১৩০৫৪৫৫৮৪২</v>
      </c>
      <c r="W278" s="21" t="str">
        <f ca="1">IFERROR(__xludf.DUMMYFUNCTION("""COMPUTED_VALUE"""),"মোঃ মশিউর রহমান
")</f>
        <v xml:space="preserve">মোঃ মশিউর রহমান
</v>
      </c>
      <c r="X278" s="21" t="str">
        <f ca="1">IFERROR(__xludf.DUMMYFUNCTION("""COMPUTED_VALUE"""),"০১৭১২৩৪০৯৯৬")</f>
        <v>০১৭১২৩৪০৯৯৬</v>
      </c>
      <c r="Y278" s="21"/>
      <c r="Z278" s="21"/>
      <c r="AA278" s="21"/>
      <c r="AB278" s="21"/>
      <c r="AC278" s="21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</row>
    <row r="279" spans="1:40" ht="15" customHeight="1" x14ac:dyDescent="0.15">
      <c r="A279" s="25"/>
      <c r="B279" s="25"/>
      <c r="C279" s="25" t="str">
        <f ca="1">IFERROR(__xludf.DUMMYFUNCTION("""COMPUTED_VALUE"""),"রংপুর")</f>
        <v>রংপুর</v>
      </c>
      <c r="D279" s="25" t="str">
        <f ca="1">IFERROR(__xludf.DUMMYFUNCTION("""COMPUTED_VALUE"""),"রংপুর")</f>
        <v>রংপুর</v>
      </c>
      <c r="E279" s="25" t="str">
        <f ca="1">IFERROR(__xludf.DUMMYFUNCTION("""COMPUTED_VALUE"""),"কুড়িগ্রাম")</f>
        <v>কুড়িগ্রাম</v>
      </c>
      <c r="F279" s="25" t="str">
        <f ca="1">IFERROR(__xludf.DUMMYFUNCTION("""COMPUTED_VALUE"""),"চর রাজিবপুর")</f>
        <v>চর রাজিবপুর</v>
      </c>
      <c r="G279" s="25"/>
      <c r="H279" s="25"/>
      <c r="I279" s="25"/>
      <c r="J279" s="25" t="str">
        <f ca="1">IFERROR(__xludf.DUMMYFUNCTION("""COMPUTED_VALUE"""),"প্রণোদনা")</f>
        <v>প্রণোদনা</v>
      </c>
      <c r="K279" s="25"/>
      <c r="L279" s="25">
        <f ca="1">IFERROR(__xludf.DUMMYFUNCTION("""COMPUTED_VALUE"""),25.40468)</f>
        <v>25.404679999999999</v>
      </c>
      <c r="M279" s="25">
        <f ca="1">IFERROR(__xludf.DUMMYFUNCTION("""COMPUTED_VALUE"""),89.76395)</f>
        <v>89.763949999999994</v>
      </c>
      <c r="N279" s="25"/>
      <c r="O27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9" s="25" t="str">
        <f ca="1">IFERROR(__xludf.DUMMYFUNCTION("""COMPUTED_VALUE"""),"ফলদ, বনজ")</f>
        <v>ফলদ, বনজ</v>
      </c>
      <c r="Q279" s="25">
        <f ca="1">IFERROR(__xludf.DUMMYFUNCTION("""COMPUTED_VALUE"""),5)</f>
        <v>5</v>
      </c>
      <c r="R279" s="25"/>
      <c r="S279" s="25"/>
      <c r="T279" s="25"/>
      <c r="U279" s="25" t="str">
        <f ca="1">IFERROR(__xludf.DUMMYFUNCTION("""COMPUTED_VALUE"""),"মোছাঃ খইফুল নেছা")</f>
        <v>মোছাঃ খইফুল নেছা</v>
      </c>
      <c r="V279" s="25" t="str">
        <f ca="1">IFERROR(__xludf.DUMMYFUNCTION("""COMPUTED_VALUE"""),"০১৭৮৭১১৩৮৪০")</f>
        <v>০১৭৮৭১১৩৮৪০</v>
      </c>
      <c r="W279" s="25" t="str">
        <f ca="1">IFERROR(__xludf.DUMMYFUNCTION("""COMPUTED_VALUE"""),"মোঃ মশিউর রহমান
")</f>
        <v xml:space="preserve">মোঃ মশিউর রহমান
</v>
      </c>
      <c r="X279" s="25" t="str">
        <f ca="1">IFERROR(__xludf.DUMMYFUNCTION("""COMPUTED_VALUE"""),"০১৭১২৩৪০৯৯৬")</f>
        <v>০১৭১২৩৪০৯৯৬</v>
      </c>
      <c r="Y279" s="25"/>
      <c r="Z279" s="25"/>
      <c r="AA279" s="25"/>
      <c r="AB279" s="25"/>
      <c r="AC279" s="25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spans="1:40" ht="15" customHeight="1" x14ac:dyDescent="0.15">
      <c r="A280" s="21"/>
      <c r="B280" s="21"/>
      <c r="C280" s="21" t="str">
        <f ca="1">IFERROR(__xludf.DUMMYFUNCTION("""COMPUTED_VALUE"""),"রংপুর")</f>
        <v>রংপুর</v>
      </c>
      <c r="D280" s="21" t="str">
        <f ca="1">IFERROR(__xludf.DUMMYFUNCTION("""COMPUTED_VALUE"""),"রংপুর")</f>
        <v>রংপুর</v>
      </c>
      <c r="E280" s="21" t="str">
        <f ca="1">IFERROR(__xludf.DUMMYFUNCTION("""COMPUTED_VALUE"""),"কুড়িগ্রাম")</f>
        <v>কুড়িগ্রাম</v>
      </c>
      <c r="F280" s="21" t="str">
        <f ca="1">IFERROR(__xludf.DUMMYFUNCTION("""COMPUTED_VALUE"""),"চর রাজিবপুর")</f>
        <v>চর রাজিবপুর</v>
      </c>
      <c r="G280" s="21"/>
      <c r="H280" s="21"/>
      <c r="I280" s="21"/>
      <c r="J280" s="21" t="str">
        <f ca="1">IFERROR(__xludf.DUMMYFUNCTION("""COMPUTED_VALUE"""),"প্রণোদনা")</f>
        <v>প্রণোদনা</v>
      </c>
      <c r="K280" s="21"/>
      <c r="L280" s="21">
        <f ca="1">IFERROR(__xludf.DUMMYFUNCTION("""COMPUTED_VALUE"""),25.40475)</f>
        <v>25.40475</v>
      </c>
      <c r="M280" s="21">
        <f ca="1">IFERROR(__xludf.DUMMYFUNCTION("""COMPUTED_VALUE"""),89.76403)</f>
        <v>89.764030000000005</v>
      </c>
      <c r="N280" s="21"/>
      <c r="O28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0" s="21" t="str">
        <f ca="1">IFERROR(__xludf.DUMMYFUNCTION("""COMPUTED_VALUE"""),"ফলদ, বনজ")</f>
        <v>ফলদ, বনজ</v>
      </c>
      <c r="Q280" s="21">
        <f ca="1">IFERROR(__xludf.DUMMYFUNCTION("""COMPUTED_VALUE"""),5)</f>
        <v>5</v>
      </c>
      <c r="R280" s="21"/>
      <c r="S280" s="21"/>
      <c r="T280" s="21"/>
      <c r="U280" s="21" t="str">
        <f ca="1">IFERROR(__xludf.DUMMYFUNCTION("""COMPUTED_VALUE"""),"মোঃ আজাহার আলী")</f>
        <v>মোঃ আজাহার আলী</v>
      </c>
      <c r="V280" s="21" t="str">
        <f ca="1">IFERROR(__xludf.DUMMYFUNCTION("""COMPUTED_VALUE"""),"০১৯২১২১৩৫৭০")</f>
        <v>০১৯২১২১৩৫৭০</v>
      </c>
      <c r="W280" s="21" t="str">
        <f ca="1">IFERROR(__xludf.DUMMYFUNCTION("""COMPUTED_VALUE"""),"মোঃ মশিউর রহমান
")</f>
        <v xml:space="preserve">মোঃ মশিউর রহমান
</v>
      </c>
      <c r="X280" s="21" t="str">
        <f ca="1">IFERROR(__xludf.DUMMYFUNCTION("""COMPUTED_VALUE"""),"০১৭১২৩৪০৯৯৬")</f>
        <v>০১৭১২৩৪০৯৯৬</v>
      </c>
      <c r="Y280" s="21"/>
      <c r="Z280" s="21"/>
      <c r="AA280" s="21"/>
      <c r="AB280" s="21"/>
      <c r="AC280" s="21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</row>
    <row r="281" spans="1:40" ht="15" customHeight="1" x14ac:dyDescent="0.15">
      <c r="A281" s="25"/>
      <c r="B281" s="25"/>
      <c r="C281" s="25" t="str">
        <f ca="1">IFERROR(__xludf.DUMMYFUNCTION("""COMPUTED_VALUE"""),"রংপুর")</f>
        <v>রংপুর</v>
      </c>
      <c r="D281" s="25" t="str">
        <f ca="1">IFERROR(__xludf.DUMMYFUNCTION("""COMPUTED_VALUE"""),"রংপুর")</f>
        <v>রংপুর</v>
      </c>
      <c r="E281" s="25" t="str">
        <f ca="1">IFERROR(__xludf.DUMMYFUNCTION("""COMPUTED_VALUE"""),"কুড়িগ্রাম")</f>
        <v>কুড়িগ্রাম</v>
      </c>
      <c r="F281" s="25" t="str">
        <f ca="1">IFERROR(__xludf.DUMMYFUNCTION("""COMPUTED_VALUE"""),"চর রাজিবপুর")</f>
        <v>চর রাজিবপুর</v>
      </c>
      <c r="G281" s="25"/>
      <c r="H281" s="25"/>
      <c r="I281" s="25"/>
      <c r="J281" s="25" t="str">
        <f ca="1">IFERROR(__xludf.DUMMYFUNCTION("""COMPUTED_VALUE"""),"প্রণোদনা")</f>
        <v>প্রণোদনা</v>
      </c>
      <c r="K281" s="25"/>
      <c r="L281" s="25">
        <f ca="1">IFERROR(__xludf.DUMMYFUNCTION("""COMPUTED_VALUE"""),25.44262)</f>
        <v>25.442620000000002</v>
      </c>
      <c r="M281" s="25">
        <f ca="1">IFERROR(__xludf.DUMMYFUNCTION("""COMPUTED_VALUE"""),89.79068)</f>
        <v>89.790679999999995</v>
      </c>
      <c r="N281" s="25"/>
      <c r="O28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1" s="25" t="str">
        <f ca="1">IFERROR(__xludf.DUMMYFUNCTION("""COMPUTED_VALUE"""),"ফলদ, বনজ")</f>
        <v>ফলদ, বনজ</v>
      </c>
      <c r="Q281" s="25">
        <f ca="1">IFERROR(__xludf.DUMMYFUNCTION("""COMPUTED_VALUE"""),5)</f>
        <v>5</v>
      </c>
      <c r="R281" s="25"/>
      <c r="S281" s="25"/>
      <c r="T281" s="25"/>
      <c r="U281" s="25" t="str">
        <f ca="1">IFERROR(__xludf.DUMMYFUNCTION("""COMPUTED_VALUE"""),"মোঃ আঃ রশিদ")</f>
        <v>মোঃ আঃ রশিদ</v>
      </c>
      <c r="V281" s="25" t="str">
        <f ca="1">IFERROR(__xludf.DUMMYFUNCTION("""COMPUTED_VALUE"""),"০১৭৭৭৮৭০৭৫৮")</f>
        <v>০১৭৭৭৮৭০৭৫৮</v>
      </c>
      <c r="W281" s="25" t="str">
        <f ca="1">IFERROR(__xludf.DUMMYFUNCTION("""COMPUTED_VALUE"""),"মোঃ মশিউর রহমান
")</f>
        <v xml:space="preserve">মোঃ মশিউর রহমান
</v>
      </c>
      <c r="X281" s="25" t="str">
        <f ca="1">IFERROR(__xludf.DUMMYFUNCTION("""COMPUTED_VALUE"""),"০১৭১২৩৪০৯৯৬")</f>
        <v>০১৭১২৩৪০৯৯৬</v>
      </c>
      <c r="Y281" s="25"/>
      <c r="Z281" s="25"/>
      <c r="AA281" s="25"/>
      <c r="AB281" s="25"/>
      <c r="AC281" s="25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spans="1:40" ht="15" customHeight="1" x14ac:dyDescent="0.15">
      <c r="A282" s="21"/>
      <c r="B282" s="21"/>
      <c r="C282" s="21" t="str">
        <f ca="1">IFERROR(__xludf.DUMMYFUNCTION("""COMPUTED_VALUE"""),"রংপুর")</f>
        <v>রংপুর</v>
      </c>
      <c r="D282" s="21" t="str">
        <f ca="1">IFERROR(__xludf.DUMMYFUNCTION("""COMPUTED_VALUE"""),"রংপুর")</f>
        <v>রংপুর</v>
      </c>
      <c r="E282" s="21" t="str">
        <f ca="1">IFERROR(__xludf.DUMMYFUNCTION("""COMPUTED_VALUE"""),"কুড়িগ্রাম")</f>
        <v>কুড়িগ্রাম</v>
      </c>
      <c r="F282" s="21" t="str">
        <f ca="1">IFERROR(__xludf.DUMMYFUNCTION("""COMPUTED_VALUE"""),"চর রাজিবপুর")</f>
        <v>চর রাজিবপুর</v>
      </c>
      <c r="G282" s="21"/>
      <c r="H282" s="21"/>
      <c r="I282" s="21"/>
      <c r="J282" s="21" t="str">
        <f ca="1">IFERROR(__xludf.DUMMYFUNCTION("""COMPUTED_VALUE"""),"প্রণোদনা")</f>
        <v>প্রণোদনা</v>
      </c>
      <c r="K282" s="21"/>
      <c r="L282" s="21">
        <f ca="1">IFERROR(__xludf.DUMMYFUNCTION("""COMPUTED_VALUE"""),25.44292)</f>
        <v>25.442920000000001</v>
      </c>
      <c r="M282" s="21">
        <f ca="1">IFERROR(__xludf.DUMMYFUNCTION("""COMPUTED_VALUE"""),89.7908)</f>
        <v>89.790800000000004</v>
      </c>
      <c r="N282" s="21"/>
      <c r="O28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2" s="21" t="str">
        <f ca="1">IFERROR(__xludf.DUMMYFUNCTION("""COMPUTED_VALUE"""),"ফলদ, বনজ")</f>
        <v>ফলদ, বনজ</v>
      </c>
      <c r="Q282" s="21">
        <f ca="1">IFERROR(__xludf.DUMMYFUNCTION("""COMPUTED_VALUE"""),5)</f>
        <v>5</v>
      </c>
      <c r="R282" s="21"/>
      <c r="S282" s="21"/>
      <c r="T282" s="21"/>
      <c r="U282" s="21" t="str">
        <f ca="1">IFERROR(__xludf.DUMMYFUNCTION("""COMPUTED_VALUE"""),"মোছাঃ লাকী পাভীন")</f>
        <v>মোছাঃ লাকী পাভীন</v>
      </c>
      <c r="V282" s="21" t="str">
        <f ca="1">IFERROR(__xludf.DUMMYFUNCTION("""COMPUTED_VALUE"""),"০১৮৭৯৫৬০৫৮২")</f>
        <v>০১৮৭৯৫৬০৫৮২</v>
      </c>
      <c r="W282" s="21" t="str">
        <f ca="1">IFERROR(__xludf.DUMMYFUNCTION("""COMPUTED_VALUE"""),"মোঃ মশিউর রহমান
")</f>
        <v xml:space="preserve">মোঃ মশিউর রহমান
</v>
      </c>
      <c r="X282" s="21" t="str">
        <f ca="1">IFERROR(__xludf.DUMMYFUNCTION("""COMPUTED_VALUE"""),"০১৭১২৩৪০৯৯৬")</f>
        <v>০১৭১২৩৪০৯৯৬</v>
      </c>
      <c r="Y282" s="21"/>
      <c r="Z282" s="21"/>
      <c r="AA282" s="21"/>
      <c r="AB282" s="21"/>
      <c r="AC282" s="21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</row>
    <row r="283" spans="1:40" ht="15" customHeight="1" x14ac:dyDescent="0.15">
      <c r="A283" s="25"/>
      <c r="B283" s="25"/>
      <c r="C283" s="25" t="str">
        <f ca="1">IFERROR(__xludf.DUMMYFUNCTION("""COMPUTED_VALUE"""),"রংপুর")</f>
        <v>রংপুর</v>
      </c>
      <c r="D283" s="25" t="str">
        <f ca="1">IFERROR(__xludf.DUMMYFUNCTION("""COMPUTED_VALUE"""),"রংপুর")</f>
        <v>রংপুর</v>
      </c>
      <c r="E283" s="25" t="str">
        <f ca="1">IFERROR(__xludf.DUMMYFUNCTION("""COMPUTED_VALUE"""),"কুড়িগ্রাম")</f>
        <v>কুড়িগ্রাম</v>
      </c>
      <c r="F283" s="25" t="str">
        <f ca="1">IFERROR(__xludf.DUMMYFUNCTION("""COMPUTED_VALUE"""),"চর রাজিবপুর")</f>
        <v>চর রাজিবপুর</v>
      </c>
      <c r="G283" s="25"/>
      <c r="H283" s="25"/>
      <c r="I283" s="25"/>
      <c r="J283" s="25" t="str">
        <f ca="1">IFERROR(__xludf.DUMMYFUNCTION("""COMPUTED_VALUE"""),"প্রণোদনা")</f>
        <v>প্রণোদনা</v>
      </c>
      <c r="K283" s="25"/>
      <c r="L283" s="25">
        <f ca="1">IFERROR(__xludf.DUMMYFUNCTION("""COMPUTED_VALUE"""),25.44295)</f>
        <v>25.44295</v>
      </c>
      <c r="M283" s="25">
        <f ca="1">IFERROR(__xludf.DUMMYFUNCTION("""COMPUTED_VALUE"""),89.79082)</f>
        <v>89.790819999999997</v>
      </c>
      <c r="N283" s="25"/>
      <c r="O28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3" s="25" t="str">
        <f ca="1">IFERROR(__xludf.DUMMYFUNCTION("""COMPUTED_VALUE"""),"ফলদ, বনজ")</f>
        <v>ফলদ, বনজ</v>
      </c>
      <c r="Q283" s="25">
        <f ca="1">IFERROR(__xludf.DUMMYFUNCTION("""COMPUTED_VALUE"""),5)</f>
        <v>5</v>
      </c>
      <c r="R283" s="25"/>
      <c r="S283" s="25"/>
      <c r="T283" s="25"/>
      <c r="U283" s="25" t="str">
        <f ca="1">IFERROR(__xludf.DUMMYFUNCTION("""COMPUTED_VALUE"""),"মোঃ এরশাদুল হক")</f>
        <v>মোঃ এরশাদুল হক</v>
      </c>
      <c r="V283" s="25" t="str">
        <f ca="1">IFERROR(__xludf.DUMMYFUNCTION("""COMPUTED_VALUE"""),"০১৭৯৪৪৭৮৯৬৩")</f>
        <v>০১৭৯৪৪৭৮৯৬৩</v>
      </c>
      <c r="W283" s="25" t="str">
        <f ca="1">IFERROR(__xludf.DUMMYFUNCTION("""COMPUTED_VALUE"""),"মোঃ মশিউর রহমান
")</f>
        <v xml:space="preserve">মোঃ মশিউর রহমান
</v>
      </c>
      <c r="X283" s="25" t="str">
        <f ca="1">IFERROR(__xludf.DUMMYFUNCTION("""COMPUTED_VALUE"""),"০১৭১২৩৪০৯৯৬")</f>
        <v>০১৭১২৩৪০৯৯৬</v>
      </c>
      <c r="Y283" s="25"/>
      <c r="Z283" s="25"/>
      <c r="AA283" s="25"/>
      <c r="AB283" s="25"/>
      <c r="AC283" s="25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spans="1:40" ht="15" customHeight="1" x14ac:dyDescent="0.15">
      <c r="A284" s="21"/>
      <c r="B284" s="21"/>
      <c r="C284" s="21" t="str">
        <f ca="1">IFERROR(__xludf.DUMMYFUNCTION("""COMPUTED_VALUE"""),"রংপুর")</f>
        <v>রংপুর</v>
      </c>
      <c r="D284" s="21" t="str">
        <f ca="1">IFERROR(__xludf.DUMMYFUNCTION("""COMPUTED_VALUE"""),"রংপুর")</f>
        <v>রংপুর</v>
      </c>
      <c r="E284" s="21" t="str">
        <f ca="1">IFERROR(__xludf.DUMMYFUNCTION("""COMPUTED_VALUE"""),"কুড়িগ্রাম")</f>
        <v>কুড়িগ্রাম</v>
      </c>
      <c r="F284" s="21" t="str">
        <f ca="1">IFERROR(__xludf.DUMMYFUNCTION("""COMPUTED_VALUE"""),"চর রাজিবপুর")</f>
        <v>চর রাজিবপুর</v>
      </c>
      <c r="G284" s="21"/>
      <c r="H284" s="21"/>
      <c r="I284" s="21"/>
      <c r="J284" s="21" t="str">
        <f ca="1">IFERROR(__xludf.DUMMYFUNCTION("""COMPUTED_VALUE"""),"প্রণোদনা")</f>
        <v>প্রণোদনা</v>
      </c>
      <c r="K284" s="21"/>
      <c r="L284" s="21">
        <f ca="1">IFERROR(__xludf.DUMMYFUNCTION("""COMPUTED_VALUE"""),25.4048)</f>
        <v>25.404800000000002</v>
      </c>
      <c r="M284" s="21">
        <f ca="1">IFERROR(__xludf.DUMMYFUNCTION("""COMPUTED_VALUE"""),89.76387)</f>
        <v>89.763869999999997</v>
      </c>
      <c r="N284" s="21"/>
      <c r="O28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4" s="21" t="str">
        <f ca="1">IFERROR(__xludf.DUMMYFUNCTION("""COMPUTED_VALUE"""),"ফলদ, বনজ")</f>
        <v>ফলদ, বনজ</v>
      </c>
      <c r="Q284" s="21">
        <f ca="1">IFERROR(__xludf.DUMMYFUNCTION("""COMPUTED_VALUE"""),5)</f>
        <v>5</v>
      </c>
      <c r="R284" s="21"/>
      <c r="S284" s="21"/>
      <c r="T284" s="21"/>
      <c r="U284" s="21" t="str">
        <f ca="1">IFERROR(__xludf.DUMMYFUNCTION("""COMPUTED_VALUE"""),"মোঃ জাকিরুল ইসলাম")</f>
        <v>মোঃ জাকিরুল ইসলাম</v>
      </c>
      <c r="V284" s="21" t="str">
        <f ca="1">IFERROR(__xludf.DUMMYFUNCTION("""COMPUTED_VALUE"""),"০১৭৩১৫৭২৭১৮")</f>
        <v>০১৭৩১৫৭২৭১৮</v>
      </c>
      <c r="W284" s="21" t="str">
        <f ca="1">IFERROR(__xludf.DUMMYFUNCTION("""COMPUTED_VALUE"""),"মোঃ মশিউর রহমান
")</f>
        <v xml:space="preserve">মোঃ মশিউর রহমান
</v>
      </c>
      <c r="X284" s="21" t="str">
        <f ca="1">IFERROR(__xludf.DUMMYFUNCTION("""COMPUTED_VALUE"""),"০১৭১২৩৪০৯৯৬")</f>
        <v>০১৭১২৩৪০৯৯৬</v>
      </c>
      <c r="Y284" s="21"/>
      <c r="Z284" s="21"/>
      <c r="AA284" s="21"/>
      <c r="AB284" s="21"/>
      <c r="AC284" s="21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</row>
    <row r="285" spans="1:40" ht="15" customHeight="1" x14ac:dyDescent="0.15">
      <c r="A285" s="25"/>
      <c r="B285" s="25"/>
      <c r="C285" s="25" t="str">
        <f ca="1">IFERROR(__xludf.DUMMYFUNCTION("""COMPUTED_VALUE"""),"রংপুর")</f>
        <v>রংপুর</v>
      </c>
      <c r="D285" s="25" t="str">
        <f ca="1">IFERROR(__xludf.DUMMYFUNCTION("""COMPUTED_VALUE"""),"রংপুর")</f>
        <v>রংপুর</v>
      </c>
      <c r="E285" s="25" t="str">
        <f ca="1">IFERROR(__xludf.DUMMYFUNCTION("""COMPUTED_VALUE"""),"কুড়িগ্রাম")</f>
        <v>কুড়িগ্রাম</v>
      </c>
      <c r="F285" s="25" t="str">
        <f ca="1">IFERROR(__xludf.DUMMYFUNCTION("""COMPUTED_VALUE"""),"চর রাজিবপুর")</f>
        <v>চর রাজিবপুর</v>
      </c>
      <c r="G285" s="25"/>
      <c r="H285" s="25"/>
      <c r="I285" s="25"/>
      <c r="J285" s="25" t="str">
        <f ca="1">IFERROR(__xludf.DUMMYFUNCTION("""COMPUTED_VALUE"""),"প্রণোদনা")</f>
        <v>প্রণোদনা</v>
      </c>
      <c r="K285" s="25"/>
      <c r="L285" s="25">
        <f ca="1">IFERROR(__xludf.DUMMYFUNCTION("""COMPUTED_VALUE"""),25.40479)</f>
        <v>25.404789999999998</v>
      </c>
      <c r="M285" s="25">
        <f ca="1">IFERROR(__xludf.DUMMYFUNCTION("""COMPUTED_VALUE"""),89.76355)</f>
        <v>89.763549999999995</v>
      </c>
      <c r="N285" s="25"/>
      <c r="O28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5" s="25" t="str">
        <f ca="1">IFERROR(__xludf.DUMMYFUNCTION("""COMPUTED_VALUE"""),"ফলদ, বনজ")</f>
        <v>ফলদ, বনজ</v>
      </c>
      <c r="Q285" s="25">
        <f ca="1">IFERROR(__xludf.DUMMYFUNCTION("""COMPUTED_VALUE"""),5)</f>
        <v>5</v>
      </c>
      <c r="R285" s="25"/>
      <c r="S285" s="25"/>
      <c r="T285" s="25"/>
      <c r="U285" s="25" t="str">
        <f ca="1">IFERROR(__xludf.DUMMYFUNCTION("""COMPUTED_VALUE"""),"মোঃ আমিনুল ইসলাম")</f>
        <v>মোঃ আমিনুল ইসলাম</v>
      </c>
      <c r="V285" s="25" t="str">
        <f ca="1">IFERROR(__xludf.DUMMYFUNCTION("""COMPUTED_VALUE"""),"০১৭৯৬৪৫০৯২২")</f>
        <v>০১৭৯৬৪৫০৯২২</v>
      </c>
      <c r="W285" s="25" t="str">
        <f ca="1">IFERROR(__xludf.DUMMYFUNCTION("""COMPUTED_VALUE"""),"মোঃ মশিউর রহমান
")</f>
        <v xml:space="preserve">মোঃ মশিউর রহমান
</v>
      </c>
      <c r="X285" s="25" t="str">
        <f ca="1">IFERROR(__xludf.DUMMYFUNCTION("""COMPUTED_VALUE"""),"০১৭১২৩৪০৯৯৬")</f>
        <v>০১৭১২৩৪০৯৯৬</v>
      </c>
      <c r="Y285" s="25"/>
      <c r="Z285" s="25"/>
      <c r="AA285" s="25"/>
      <c r="AB285" s="25"/>
      <c r="AC285" s="25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spans="1:40" ht="15" customHeight="1" x14ac:dyDescent="0.15">
      <c r="A286" s="21"/>
      <c r="B286" s="21"/>
      <c r="C286" s="21" t="str">
        <f ca="1">IFERROR(__xludf.DUMMYFUNCTION("""COMPUTED_VALUE"""),"রংপুর")</f>
        <v>রংপুর</v>
      </c>
      <c r="D286" s="21" t="str">
        <f ca="1">IFERROR(__xludf.DUMMYFUNCTION("""COMPUTED_VALUE"""),"রংপুর")</f>
        <v>রংপুর</v>
      </c>
      <c r="E286" s="21" t="str">
        <f ca="1">IFERROR(__xludf.DUMMYFUNCTION("""COMPUTED_VALUE"""),"কুড়িগ্রাম")</f>
        <v>কুড়িগ্রাম</v>
      </c>
      <c r="F286" s="21" t="str">
        <f ca="1">IFERROR(__xludf.DUMMYFUNCTION("""COMPUTED_VALUE"""),"চর রাজিবপুর")</f>
        <v>চর রাজিবপুর</v>
      </c>
      <c r="G286" s="21"/>
      <c r="H286" s="21"/>
      <c r="I286" s="21"/>
      <c r="J286" s="21" t="str">
        <f ca="1">IFERROR(__xludf.DUMMYFUNCTION("""COMPUTED_VALUE"""),"প্রণোদনা")</f>
        <v>প্রণোদনা</v>
      </c>
      <c r="K286" s="21"/>
      <c r="L286" s="21">
        <f ca="1">IFERROR(__xludf.DUMMYFUNCTION("""COMPUTED_VALUE"""),25.45156)</f>
        <v>25.451560000000001</v>
      </c>
      <c r="M286" s="21">
        <f ca="1">IFERROR(__xludf.DUMMYFUNCTION("""COMPUTED_VALUE"""),89.81366)</f>
        <v>89.813659999999999</v>
      </c>
      <c r="N286" s="21"/>
      <c r="O28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6" s="21" t="str">
        <f ca="1">IFERROR(__xludf.DUMMYFUNCTION("""COMPUTED_VALUE"""),"ফলদ, বনজ")</f>
        <v>ফলদ, বনজ</v>
      </c>
      <c r="Q286" s="21">
        <f ca="1">IFERROR(__xludf.DUMMYFUNCTION("""COMPUTED_VALUE"""),5)</f>
        <v>5</v>
      </c>
      <c r="R286" s="21"/>
      <c r="S286" s="21"/>
      <c r="T286" s="21"/>
      <c r="U286" s="21" t="str">
        <f ca="1">IFERROR(__xludf.DUMMYFUNCTION("""COMPUTED_VALUE"""),"মোঃ নাসির আহমেদ")</f>
        <v>মোঃ নাসির আহমেদ</v>
      </c>
      <c r="V286" s="21" t="str">
        <f ca="1">IFERROR(__xludf.DUMMYFUNCTION("""COMPUTED_VALUE"""),"০১৭০০৬৩২৩১০")</f>
        <v>০১৭০০৬৩২৩১০</v>
      </c>
      <c r="W286" s="21" t="str">
        <f ca="1">IFERROR(__xludf.DUMMYFUNCTION("""COMPUTED_VALUE"""),"মোঃ মশিউর রহমান
")</f>
        <v xml:space="preserve">মোঃ মশিউর রহমান
</v>
      </c>
      <c r="X286" s="21" t="str">
        <f ca="1">IFERROR(__xludf.DUMMYFUNCTION("""COMPUTED_VALUE"""),"০১৭১২৩৪০৯৯৬")</f>
        <v>০১৭১২৩৪০৯৯৬</v>
      </c>
      <c r="Y286" s="21"/>
      <c r="Z286" s="21"/>
      <c r="AA286" s="21"/>
      <c r="AB286" s="21"/>
      <c r="AC286" s="21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</row>
    <row r="287" spans="1:40" ht="15" customHeight="1" x14ac:dyDescent="0.15">
      <c r="A287" s="25"/>
      <c r="B287" s="25"/>
      <c r="C287" s="25" t="str">
        <f ca="1">IFERROR(__xludf.DUMMYFUNCTION("""COMPUTED_VALUE"""),"রংপুর")</f>
        <v>রংপুর</v>
      </c>
      <c r="D287" s="25" t="str">
        <f ca="1">IFERROR(__xludf.DUMMYFUNCTION("""COMPUTED_VALUE"""),"রংপুর")</f>
        <v>রংপুর</v>
      </c>
      <c r="E287" s="25" t="str">
        <f ca="1">IFERROR(__xludf.DUMMYFUNCTION("""COMPUTED_VALUE"""),"কুড়িগ্রাম")</f>
        <v>কুড়িগ্রাম</v>
      </c>
      <c r="F287" s="25" t="str">
        <f ca="1">IFERROR(__xludf.DUMMYFUNCTION("""COMPUTED_VALUE"""),"চর রাজিবপুর")</f>
        <v>চর রাজিবপুর</v>
      </c>
      <c r="G287" s="25"/>
      <c r="H287" s="25"/>
      <c r="I287" s="25"/>
      <c r="J287" s="25" t="str">
        <f ca="1">IFERROR(__xludf.DUMMYFUNCTION("""COMPUTED_VALUE"""),"প্রণোদনা")</f>
        <v>প্রণোদনা</v>
      </c>
      <c r="K287" s="25"/>
      <c r="L287" s="25">
        <f ca="1">IFERROR(__xludf.DUMMYFUNCTION("""COMPUTED_VALUE"""),25.44277)</f>
        <v>25.442769999999999</v>
      </c>
      <c r="M287" s="25">
        <f ca="1">IFERROR(__xludf.DUMMYFUNCTION("""COMPUTED_VALUE"""),89.78998)</f>
        <v>89.78998</v>
      </c>
      <c r="N287" s="25"/>
      <c r="O28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7" s="25" t="str">
        <f ca="1">IFERROR(__xludf.DUMMYFUNCTION("""COMPUTED_VALUE"""),"ফলদ, বনজ")</f>
        <v>ফলদ, বনজ</v>
      </c>
      <c r="Q287" s="25">
        <f ca="1">IFERROR(__xludf.DUMMYFUNCTION("""COMPUTED_VALUE"""),5)</f>
        <v>5</v>
      </c>
      <c r="R287" s="25"/>
      <c r="S287" s="25"/>
      <c r="T287" s="25"/>
      <c r="U287" s="25" t="str">
        <f ca="1">IFERROR(__xludf.DUMMYFUNCTION("""COMPUTED_VALUE"""),"মোঃ সোলায়মান হোসেন")</f>
        <v>মোঃ সোলায়মান হোসেন</v>
      </c>
      <c r="V287" s="25" t="str">
        <f ca="1">IFERROR(__xludf.DUMMYFUNCTION("""COMPUTED_VALUE"""),"০১৭৯৬৬৯৩০৯২")</f>
        <v>০১৭৯৬৬৯৩০৯২</v>
      </c>
      <c r="W287" s="25" t="str">
        <f ca="1">IFERROR(__xludf.DUMMYFUNCTION("""COMPUTED_VALUE"""),"মোঃ মশিউর রহমান
")</f>
        <v xml:space="preserve">মোঃ মশিউর রহমান
</v>
      </c>
      <c r="X287" s="25" t="str">
        <f ca="1">IFERROR(__xludf.DUMMYFUNCTION("""COMPUTED_VALUE"""),"০১৭১২৩৪০৯৯৬")</f>
        <v>০১৭১২৩৪০৯৯৬</v>
      </c>
      <c r="Y287" s="25"/>
      <c r="Z287" s="25"/>
      <c r="AA287" s="25"/>
      <c r="AB287" s="25"/>
      <c r="AC287" s="25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spans="1:40" ht="15" customHeight="1" x14ac:dyDescent="0.15">
      <c r="A288" s="21"/>
      <c r="B288" s="21"/>
      <c r="C288" s="21" t="str">
        <f ca="1">IFERROR(__xludf.DUMMYFUNCTION("""COMPUTED_VALUE"""),"রংপুর")</f>
        <v>রংপুর</v>
      </c>
      <c r="D288" s="21" t="str">
        <f ca="1">IFERROR(__xludf.DUMMYFUNCTION("""COMPUTED_VALUE"""),"রংপুর")</f>
        <v>রংপুর</v>
      </c>
      <c r="E288" s="21" t="str">
        <f ca="1">IFERROR(__xludf.DUMMYFUNCTION("""COMPUTED_VALUE"""),"কুড়িগ্রাম")</f>
        <v>কুড়িগ্রাম</v>
      </c>
      <c r="F288" s="21" t="str">
        <f ca="1">IFERROR(__xludf.DUMMYFUNCTION("""COMPUTED_VALUE"""),"চর রাজিবপুর")</f>
        <v>চর রাজিবপুর</v>
      </c>
      <c r="G288" s="21"/>
      <c r="H288" s="21"/>
      <c r="I288" s="21"/>
      <c r="J288" s="21" t="str">
        <f ca="1">IFERROR(__xludf.DUMMYFUNCTION("""COMPUTED_VALUE"""),"প্রণোদনা")</f>
        <v>প্রণোদনা</v>
      </c>
      <c r="K288" s="21"/>
      <c r="L288" s="21">
        <f ca="1">IFERROR(__xludf.DUMMYFUNCTION("""COMPUTED_VALUE"""),25.44267)</f>
        <v>25.44267</v>
      </c>
      <c r="M288" s="21">
        <f ca="1">IFERROR(__xludf.DUMMYFUNCTION("""COMPUTED_VALUE"""),89.79017)</f>
        <v>89.790170000000003</v>
      </c>
      <c r="N288" s="21"/>
      <c r="O2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8" s="21" t="str">
        <f ca="1">IFERROR(__xludf.DUMMYFUNCTION("""COMPUTED_VALUE"""),"ফলদ, বনজ")</f>
        <v>ফলদ, বনজ</v>
      </c>
      <c r="Q288" s="21">
        <f ca="1">IFERROR(__xludf.DUMMYFUNCTION("""COMPUTED_VALUE"""),5)</f>
        <v>5</v>
      </c>
      <c r="R288" s="21"/>
      <c r="S288" s="21"/>
      <c r="T288" s="21"/>
      <c r="U288" s="21" t="str">
        <f ca="1">IFERROR(__xludf.DUMMYFUNCTION("""COMPUTED_VALUE"""),"আব্দুল্লাহ আল নোমান")</f>
        <v>আব্দুল্লাহ আল নোমান</v>
      </c>
      <c r="V288" s="21" t="str">
        <f ca="1">IFERROR(__xludf.DUMMYFUNCTION("""COMPUTED_VALUE"""),"০১৯৪৬৭৭৬২১০")</f>
        <v>০১৯৪৬৭৭৬২১০</v>
      </c>
      <c r="W288" s="21" t="str">
        <f ca="1">IFERROR(__xludf.DUMMYFUNCTION("""COMPUTED_VALUE"""),"মোঃ মশিউর রহমান
")</f>
        <v xml:space="preserve">মোঃ মশিউর রহমান
</v>
      </c>
      <c r="X288" s="21" t="str">
        <f ca="1">IFERROR(__xludf.DUMMYFUNCTION("""COMPUTED_VALUE"""),"০১৭১২৩৪০৯৯৬")</f>
        <v>০১৭১২৩৪০৯৯৬</v>
      </c>
      <c r="Y288" s="21"/>
      <c r="Z288" s="21"/>
      <c r="AA288" s="21"/>
      <c r="AB288" s="21"/>
      <c r="AC288" s="21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</row>
    <row r="289" spans="1:40" ht="15" customHeight="1" x14ac:dyDescent="0.15">
      <c r="A289" s="25"/>
      <c r="B289" s="25"/>
      <c r="C289" s="25" t="str">
        <f ca="1">IFERROR(__xludf.DUMMYFUNCTION("""COMPUTED_VALUE"""),"রংপুর")</f>
        <v>রংপুর</v>
      </c>
      <c r="D289" s="25" t="str">
        <f ca="1">IFERROR(__xludf.DUMMYFUNCTION("""COMPUTED_VALUE"""),"রংপুর")</f>
        <v>রংপুর</v>
      </c>
      <c r="E289" s="25" t="str">
        <f ca="1">IFERROR(__xludf.DUMMYFUNCTION("""COMPUTED_VALUE"""),"কুড়িগ্রাম")</f>
        <v>কুড়িগ্রাম</v>
      </c>
      <c r="F289" s="25" t="str">
        <f ca="1">IFERROR(__xludf.DUMMYFUNCTION("""COMPUTED_VALUE"""),"চর রাজিবপুর")</f>
        <v>চর রাজিবপুর</v>
      </c>
      <c r="G289" s="25"/>
      <c r="H289" s="25"/>
      <c r="I289" s="25"/>
      <c r="J289" s="25" t="str">
        <f ca="1">IFERROR(__xludf.DUMMYFUNCTION("""COMPUTED_VALUE"""),"প্রণোদনা")</f>
        <v>প্রণোদনা</v>
      </c>
      <c r="K289" s="25"/>
      <c r="L289" s="25">
        <f ca="1">IFERROR(__xludf.DUMMYFUNCTION("""COMPUTED_VALUE"""),25.44273)</f>
        <v>25.442730000000001</v>
      </c>
      <c r="M289" s="25">
        <f ca="1">IFERROR(__xludf.DUMMYFUNCTION("""COMPUTED_VALUE"""),89.79039)</f>
        <v>89.790390000000002</v>
      </c>
      <c r="N289" s="25"/>
      <c r="O2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9" s="25" t="str">
        <f ca="1">IFERROR(__xludf.DUMMYFUNCTION("""COMPUTED_VALUE"""),"ফলদ, বনজ")</f>
        <v>ফলদ, বনজ</v>
      </c>
      <c r="Q289" s="25">
        <f ca="1">IFERROR(__xludf.DUMMYFUNCTION("""COMPUTED_VALUE"""),5)</f>
        <v>5</v>
      </c>
      <c r="R289" s="25"/>
      <c r="S289" s="25"/>
      <c r="T289" s="25"/>
      <c r="U289" s="25" t="str">
        <f ca="1">IFERROR(__xludf.DUMMYFUNCTION("""COMPUTED_VALUE"""),"মোঃ নুরুল ইসলাম")</f>
        <v>মোঃ নুরুল ইসলাম</v>
      </c>
      <c r="V289" s="25" t="str">
        <f ca="1">IFERROR(__xludf.DUMMYFUNCTION("""COMPUTED_VALUE"""),"০১৭২৯৩১৪৬৮৩")</f>
        <v>০১৭২৯৩১৪৬৮৩</v>
      </c>
      <c r="W289" s="25" t="str">
        <f ca="1">IFERROR(__xludf.DUMMYFUNCTION("""COMPUTED_VALUE"""),"মোঃ মশিউর রহমান
")</f>
        <v xml:space="preserve">মোঃ মশিউর রহমান
</v>
      </c>
      <c r="X289" s="25" t="str">
        <f ca="1">IFERROR(__xludf.DUMMYFUNCTION("""COMPUTED_VALUE"""),"০১৭১২৩৪০৯৯৬")</f>
        <v>০১৭১২৩৪০৯৯৬</v>
      </c>
      <c r="Y289" s="25"/>
      <c r="Z289" s="25"/>
      <c r="AA289" s="25"/>
      <c r="AB289" s="25"/>
      <c r="AC289" s="25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spans="1:40" ht="15" customHeight="1" x14ac:dyDescent="0.15">
      <c r="A290" s="21"/>
      <c r="B290" s="21"/>
      <c r="C290" s="21" t="str">
        <f ca="1">IFERROR(__xludf.DUMMYFUNCTION("""COMPUTED_VALUE"""),"রংপুর")</f>
        <v>রংপুর</v>
      </c>
      <c r="D290" s="21" t="str">
        <f ca="1">IFERROR(__xludf.DUMMYFUNCTION("""COMPUTED_VALUE"""),"রংপুর")</f>
        <v>রংপুর</v>
      </c>
      <c r="E290" s="21" t="str">
        <f ca="1">IFERROR(__xludf.DUMMYFUNCTION("""COMPUTED_VALUE"""),"কুড়িগ্রাম")</f>
        <v>কুড়িগ্রাম</v>
      </c>
      <c r="F290" s="21" t="str">
        <f ca="1">IFERROR(__xludf.DUMMYFUNCTION("""COMPUTED_VALUE"""),"চর রাজিবপুর")</f>
        <v>চর রাজিবপুর</v>
      </c>
      <c r="G290" s="21"/>
      <c r="H290" s="21"/>
      <c r="I290" s="21"/>
      <c r="J290" s="21" t="str">
        <f ca="1">IFERROR(__xludf.DUMMYFUNCTION("""COMPUTED_VALUE"""),"প্রণোদনা")</f>
        <v>প্রণোদনা</v>
      </c>
      <c r="K290" s="21"/>
      <c r="L290" s="21">
        <f ca="1">IFERROR(__xludf.DUMMYFUNCTION("""COMPUTED_VALUE"""),25.44257)</f>
        <v>25.44257</v>
      </c>
      <c r="M290" s="21">
        <f ca="1">IFERROR(__xludf.DUMMYFUNCTION("""COMPUTED_VALUE"""),89.79065)</f>
        <v>89.790649999999999</v>
      </c>
      <c r="N290" s="21"/>
      <c r="O2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0" s="21" t="str">
        <f ca="1">IFERROR(__xludf.DUMMYFUNCTION("""COMPUTED_VALUE"""),"ফলদ, বনজ")</f>
        <v>ফলদ, বনজ</v>
      </c>
      <c r="Q290" s="21">
        <f ca="1">IFERROR(__xludf.DUMMYFUNCTION("""COMPUTED_VALUE"""),5)</f>
        <v>5</v>
      </c>
      <c r="R290" s="21"/>
      <c r="S290" s="21"/>
      <c r="T290" s="21"/>
      <c r="U290" s="21" t="str">
        <f ca="1">IFERROR(__xludf.DUMMYFUNCTION("""COMPUTED_VALUE"""),"মোঃ দুলাল হোসেন")</f>
        <v>মোঃ দুলাল হোসেন</v>
      </c>
      <c r="V290" s="21" t="str">
        <f ca="1">IFERROR(__xludf.DUMMYFUNCTION("""COMPUTED_VALUE"""),"০১৯১৭৪৬৪২৩০")</f>
        <v>০১৯১৭৪৬৪২৩০</v>
      </c>
      <c r="W290" s="21" t="str">
        <f ca="1">IFERROR(__xludf.DUMMYFUNCTION("""COMPUTED_VALUE"""),"মোঃ মশিউর রহমান
")</f>
        <v xml:space="preserve">মোঃ মশিউর রহমান
</v>
      </c>
      <c r="X290" s="21" t="str">
        <f ca="1">IFERROR(__xludf.DUMMYFUNCTION("""COMPUTED_VALUE"""),"০১৭১২৩৪০৯৯৬")</f>
        <v>০১৭১২৩৪০৯৯৬</v>
      </c>
      <c r="Y290" s="21"/>
      <c r="Z290" s="21"/>
      <c r="AA290" s="21"/>
      <c r="AB290" s="21"/>
      <c r="AC290" s="21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</row>
    <row r="291" spans="1:40" ht="15" customHeight="1" x14ac:dyDescent="0.15">
      <c r="A291" s="25"/>
      <c r="B291" s="25"/>
      <c r="C291" s="25" t="str">
        <f ca="1">IFERROR(__xludf.DUMMYFUNCTION("""COMPUTED_VALUE"""),"রংপুর")</f>
        <v>রংপুর</v>
      </c>
      <c r="D291" s="25" t="str">
        <f ca="1">IFERROR(__xludf.DUMMYFUNCTION("""COMPUTED_VALUE"""),"রংপুর")</f>
        <v>রংপুর</v>
      </c>
      <c r="E291" s="25" t="str">
        <f ca="1">IFERROR(__xludf.DUMMYFUNCTION("""COMPUTED_VALUE"""),"কুড়িগ্রাম")</f>
        <v>কুড়িগ্রাম</v>
      </c>
      <c r="F291" s="25" t="str">
        <f ca="1">IFERROR(__xludf.DUMMYFUNCTION("""COMPUTED_VALUE"""),"চর রাজিবপুর")</f>
        <v>চর রাজিবপুর</v>
      </c>
      <c r="G291" s="25"/>
      <c r="H291" s="25"/>
      <c r="I291" s="25"/>
      <c r="J291" s="25" t="str">
        <f ca="1">IFERROR(__xludf.DUMMYFUNCTION("""COMPUTED_VALUE"""),"প্রণোদনা")</f>
        <v>প্রণোদনা</v>
      </c>
      <c r="K291" s="25"/>
      <c r="L291" s="25">
        <f ca="1">IFERROR(__xludf.DUMMYFUNCTION("""COMPUTED_VALUE"""),25.45053)</f>
        <v>25.450530000000001</v>
      </c>
      <c r="M291" s="25">
        <f ca="1">IFERROR(__xludf.DUMMYFUNCTION("""COMPUTED_VALUE"""),89.81024)</f>
        <v>89.810239999999993</v>
      </c>
      <c r="N291" s="25"/>
      <c r="O2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1" s="25" t="str">
        <f ca="1">IFERROR(__xludf.DUMMYFUNCTION("""COMPUTED_VALUE"""),"ফলদ, বনজ")</f>
        <v>ফলদ, বনজ</v>
      </c>
      <c r="Q291" s="25">
        <f ca="1">IFERROR(__xludf.DUMMYFUNCTION("""COMPUTED_VALUE"""),5)</f>
        <v>5</v>
      </c>
      <c r="R291" s="25"/>
      <c r="S291" s="25"/>
      <c r="T291" s="25"/>
      <c r="U291" s="25" t="str">
        <f ca="1">IFERROR(__xludf.DUMMYFUNCTION("""COMPUTED_VALUE"""),"মোঃ দেলোয়ার হোসেন")</f>
        <v>মোঃ দেলোয়ার হোসেন</v>
      </c>
      <c r="V291" s="25" t="str">
        <f ca="1">IFERROR(__xludf.DUMMYFUNCTION("""COMPUTED_VALUE"""),"০১৭৭৯০৫২৫৪৪")</f>
        <v>০১৭৭৯০৫২৫৪৪</v>
      </c>
      <c r="W291" s="25" t="str">
        <f ca="1">IFERROR(__xludf.DUMMYFUNCTION("""COMPUTED_VALUE"""),"মোঃ মশিউর রহমান
")</f>
        <v xml:space="preserve">মোঃ মশিউর রহমান
</v>
      </c>
      <c r="X291" s="25" t="str">
        <f ca="1">IFERROR(__xludf.DUMMYFUNCTION("""COMPUTED_VALUE"""),"০১৭১২৩৪০৯৯৬")</f>
        <v>০১৭১২৩৪০৯৯৬</v>
      </c>
      <c r="Y291" s="25"/>
      <c r="Z291" s="25"/>
      <c r="AA291" s="25"/>
      <c r="AB291" s="25"/>
      <c r="AC291" s="25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spans="1:40" ht="15" customHeight="1" x14ac:dyDescent="0.15">
      <c r="A292" s="21"/>
      <c r="B292" s="21"/>
      <c r="C292" s="21" t="str">
        <f ca="1">IFERROR(__xludf.DUMMYFUNCTION("""COMPUTED_VALUE"""),"রংপুর")</f>
        <v>রংপুর</v>
      </c>
      <c r="D292" s="21" t="str">
        <f ca="1">IFERROR(__xludf.DUMMYFUNCTION("""COMPUTED_VALUE"""),"রংপুর")</f>
        <v>রংপুর</v>
      </c>
      <c r="E292" s="21" t="str">
        <f ca="1">IFERROR(__xludf.DUMMYFUNCTION("""COMPUTED_VALUE"""),"কুড়িগ্রাম")</f>
        <v>কুড়িগ্রাম</v>
      </c>
      <c r="F292" s="21" t="str">
        <f ca="1">IFERROR(__xludf.DUMMYFUNCTION("""COMPUTED_VALUE"""),"চর রাজিবপুর")</f>
        <v>চর রাজিবপুর</v>
      </c>
      <c r="G292" s="21"/>
      <c r="H292" s="21"/>
      <c r="I292" s="21"/>
      <c r="J292" s="21" t="str">
        <f ca="1">IFERROR(__xludf.DUMMYFUNCTION("""COMPUTED_VALUE"""),"প্রণোদনা")</f>
        <v>প্রণোদনা</v>
      </c>
      <c r="K292" s="21"/>
      <c r="L292" s="21">
        <f ca="1">IFERROR(__xludf.DUMMYFUNCTION("""COMPUTED_VALUE"""),25.45067)</f>
        <v>25.450669999999999</v>
      </c>
      <c r="M292" s="21">
        <f ca="1">IFERROR(__xludf.DUMMYFUNCTION("""COMPUTED_VALUE"""),89.80996)</f>
        <v>89.809960000000004</v>
      </c>
      <c r="N292" s="21"/>
      <c r="O2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2" s="21" t="str">
        <f ca="1">IFERROR(__xludf.DUMMYFUNCTION("""COMPUTED_VALUE"""),"ফলদ, বনজ")</f>
        <v>ফলদ, বনজ</v>
      </c>
      <c r="Q292" s="21">
        <f ca="1">IFERROR(__xludf.DUMMYFUNCTION("""COMPUTED_VALUE"""),5)</f>
        <v>5</v>
      </c>
      <c r="R292" s="21"/>
      <c r="S292" s="21"/>
      <c r="T292" s="21"/>
      <c r="U292" s="21" t="str">
        <f ca="1">IFERROR(__xludf.DUMMYFUNCTION("""COMPUTED_VALUE"""),"মোঃ আজিজুর রহমান")</f>
        <v>মোঃ আজিজুর রহমান</v>
      </c>
      <c r="V292" s="21" t="str">
        <f ca="1">IFERROR(__xludf.DUMMYFUNCTION("""COMPUTED_VALUE"""),"০১৭৮২৯১২৯০০")</f>
        <v>০১৭৮২৯১২৯০০</v>
      </c>
      <c r="W292" s="21" t="str">
        <f ca="1">IFERROR(__xludf.DUMMYFUNCTION("""COMPUTED_VALUE"""),"মোঃ মশিউর রহমান
")</f>
        <v xml:space="preserve">মোঃ মশিউর রহমান
</v>
      </c>
      <c r="X292" s="21" t="str">
        <f ca="1">IFERROR(__xludf.DUMMYFUNCTION("""COMPUTED_VALUE"""),"০১৭১২৩৪০৯৯৬")</f>
        <v>০১৭১২৩৪০৯৯৬</v>
      </c>
      <c r="Y292" s="21"/>
      <c r="Z292" s="21"/>
      <c r="AA292" s="21"/>
      <c r="AB292" s="21"/>
      <c r="AC292" s="21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</row>
    <row r="293" spans="1:40" ht="15" customHeight="1" x14ac:dyDescent="0.15">
      <c r="A293" s="25"/>
      <c r="B293" s="25"/>
      <c r="C293" s="25" t="str">
        <f ca="1">IFERROR(__xludf.DUMMYFUNCTION("""COMPUTED_VALUE"""),"রংপুর")</f>
        <v>রংপুর</v>
      </c>
      <c r="D293" s="25" t="str">
        <f ca="1">IFERROR(__xludf.DUMMYFUNCTION("""COMPUTED_VALUE"""),"রংপুর")</f>
        <v>রংপুর</v>
      </c>
      <c r="E293" s="25" t="str">
        <f ca="1">IFERROR(__xludf.DUMMYFUNCTION("""COMPUTED_VALUE"""),"কুড়িগ্রাম")</f>
        <v>কুড়িগ্রাম</v>
      </c>
      <c r="F293" s="25" t="str">
        <f ca="1">IFERROR(__xludf.DUMMYFUNCTION("""COMPUTED_VALUE"""),"চর রাজিবপুর")</f>
        <v>চর রাজিবপুর</v>
      </c>
      <c r="G293" s="25"/>
      <c r="H293" s="25"/>
      <c r="I293" s="25"/>
      <c r="J293" s="25" t="str">
        <f ca="1">IFERROR(__xludf.DUMMYFUNCTION("""COMPUTED_VALUE"""),"প্রণোদনা")</f>
        <v>প্রণোদনা</v>
      </c>
      <c r="K293" s="25"/>
      <c r="L293" s="25">
        <f ca="1">IFERROR(__xludf.DUMMYFUNCTION("""COMPUTED_VALUE"""),25.50488)</f>
        <v>25.50488</v>
      </c>
      <c r="M293" s="25">
        <f ca="1">IFERROR(__xludf.DUMMYFUNCTION("""COMPUTED_VALUE"""),89.77826)</f>
        <v>89.778260000000003</v>
      </c>
      <c r="N293" s="25"/>
      <c r="O2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3" s="25" t="str">
        <f ca="1">IFERROR(__xludf.DUMMYFUNCTION("""COMPUTED_VALUE"""),"ফলদ, বনজ")</f>
        <v>ফলদ, বনজ</v>
      </c>
      <c r="Q293" s="25">
        <f ca="1">IFERROR(__xludf.DUMMYFUNCTION("""COMPUTED_VALUE"""),5)</f>
        <v>5</v>
      </c>
      <c r="R293" s="25"/>
      <c r="S293" s="25"/>
      <c r="T293" s="25"/>
      <c r="U293" s="25" t="str">
        <f ca="1">IFERROR(__xludf.DUMMYFUNCTION("""COMPUTED_VALUE"""),"মোঃ সোলায়মান হোসেন")</f>
        <v>মোঃ সোলায়মান হোসেন</v>
      </c>
      <c r="V293" s="25" t="str">
        <f ca="1">IFERROR(__xludf.DUMMYFUNCTION("""COMPUTED_VALUE"""),"০১৭৬৭৫৪৯৫৭৪")</f>
        <v>০১৭৬৭৫৪৯৫৭৪</v>
      </c>
      <c r="W293" s="25" t="str">
        <f ca="1">IFERROR(__xludf.DUMMYFUNCTION("""COMPUTED_VALUE"""),"মোঃ মশিউর রহমান
")</f>
        <v xml:space="preserve">মোঃ মশিউর রহমান
</v>
      </c>
      <c r="X293" s="25" t="str">
        <f ca="1">IFERROR(__xludf.DUMMYFUNCTION("""COMPUTED_VALUE"""),"০১৭১২৩৪০৯৯৬")</f>
        <v>০১৭১২৩৪০৯৯৬</v>
      </c>
      <c r="Y293" s="25"/>
      <c r="Z293" s="25"/>
      <c r="AA293" s="25"/>
      <c r="AB293" s="25"/>
      <c r="AC293" s="25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spans="1:40" ht="15" customHeight="1" x14ac:dyDescent="0.15">
      <c r="A294" s="21"/>
      <c r="B294" s="21"/>
      <c r="C294" s="21" t="str">
        <f ca="1">IFERROR(__xludf.DUMMYFUNCTION("""COMPUTED_VALUE"""),"রংপুর")</f>
        <v>রংপুর</v>
      </c>
      <c r="D294" s="21" t="str">
        <f ca="1">IFERROR(__xludf.DUMMYFUNCTION("""COMPUTED_VALUE"""),"রংপুর")</f>
        <v>রংপুর</v>
      </c>
      <c r="E294" s="21" t="str">
        <f ca="1">IFERROR(__xludf.DUMMYFUNCTION("""COMPUTED_VALUE"""),"কুড়িগ্রাম")</f>
        <v>কুড়িগ্রাম</v>
      </c>
      <c r="F294" s="21" t="str">
        <f ca="1">IFERROR(__xludf.DUMMYFUNCTION("""COMPUTED_VALUE"""),"চর রাজিবপুর")</f>
        <v>চর রাজিবপুর</v>
      </c>
      <c r="G294" s="21"/>
      <c r="H294" s="21"/>
      <c r="I294" s="21"/>
      <c r="J294" s="21" t="str">
        <f ca="1">IFERROR(__xludf.DUMMYFUNCTION("""COMPUTED_VALUE"""),"প্রণোদনা")</f>
        <v>প্রণোদনা</v>
      </c>
      <c r="K294" s="21"/>
      <c r="L294" s="21">
        <f ca="1">IFERROR(__xludf.DUMMYFUNCTION("""COMPUTED_VALUE"""),25.45121)</f>
        <v>25.45121</v>
      </c>
      <c r="M294" s="21">
        <f ca="1">IFERROR(__xludf.DUMMYFUNCTION("""COMPUTED_VALUE"""),89.80975)</f>
        <v>89.809749999999994</v>
      </c>
      <c r="N294" s="21"/>
      <c r="O2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4" s="21" t="str">
        <f ca="1">IFERROR(__xludf.DUMMYFUNCTION("""COMPUTED_VALUE"""),"ফলদ, বনজ")</f>
        <v>ফলদ, বনজ</v>
      </c>
      <c r="Q294" s="21">
        <f ca="1">IFERROR(__xludf.DUMMYFUNCTION("""COMPUTED_VALUE"""),5)</f>
        <v>5</v>
      </c>
      <c r="R294" s="21"/>
      <c r="S294" s="21"/>
      <c r="T294" s="21"/>
      <c r="U294" s="21" t="str">
        <f ca="1">IFERROR(__xludf.DUMMYFUNCTION("""COMPUTED_VALUE"""),"মোঃ ছাইফুল ইসলাম")</f>
        <v>মোঃ ছাইফুল ইসলাম</v>
      </c>
      <c r="V294" s="21" t="str">
        <f ca="1">IFERROR(__xludf.DUMMYFUNCTION("""COMPUTED_VALUE"""),"০১৯৩২২০১২১০")</f>
        <v>০১৯৩২২০১২১০</v>
      </c>
      <c r="W294" s="21" t="str">
        <f ca="1">IFERROR(__xludf.DUMMYFUNCTION("""COMPUTED_VALUE"""),"মোঃ মশিউর রহমান
")</f>
        <v xml:space="preserve">মোঃ মশিউর রহমান
</v>
      </c>
      <c r="X294" s="21" t="str">
        <f ca="1">IFERROR(__xludf.DUMMYFUNCTION("""COMPUTED_VALUE"""),"০১৭১২৩৪০৯৯৬")</f>
        <v>০১৭১২৩৪০৯৯৬</v>
      </c>
      <c r="Y294" s="21"/>
      <c r="Z294" s="21"/>
      <c r="AA294" s="21"/>
      <c r="AB294" s="21"/>
      <c r="AC294" s="21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</row>
    <row r="295" spans="1:40" ht="15" customHeight="1" x14ac:dyDescent="0.15">
      <c r="A295" s="25"/>
      <c r="B295" s="25"/>
      <c r="C295" s="25" t="str">
        <f ca="1">IFERROR(__xludf.DUMMYFUNCTION("""COMPUTED_VALUE"""),"রংপুর")</f>
        <v>রংপুর</v>
      </c>
      <c r="D295" s="25" t="str">
        <f ca="1">IFERROR(__xludf.DUMMYFUNCTION("""COMPUTED_VALUE"""),"রংপুর")</f>
        <v>রংপুর</v>
      </c>
      <c r="E295" s="25" t="str">
        <f ca="1">IFERROR(__xludf.DUMMYFUNCTION("""COMPUTED_VALUE"""),"কুড়িগ্রাম")</f>
        <v>কুড়িগ্রাম</v>
      </c>
      <c r="F295" s="25" t="str">
        <f ca="1">IFERROR(__xludf.DUMMYFUNCTION("""COMPUTED_VALUE"""),"চর রাজিবপুর")</f>
        <v>চর রাজিবপুর</v>
      </c>
      <c r="G295" s="25"/>
      <c r="H295" s="25"/>
      <c r="I295" s="25"/>
      <c r="J295" s="25" t="str">
        <f ca="1">IFERROR(__xludf.DUMMYFUNCTION("""COMPUTED_VALUE"""),"প্রণোদনা")</f>
        <v>প্রণোদনা</v>
      </c>
      <c r="K295" s="25"/>
      <c r="L295" s="25">
        <f ca="1">IFERROR(__xludf.DUMMYFUNCTION("""COMPUTED_VALUE"""),25.45117)</f>
        <v>25.451170000000001</v>
      </c>
      <c r="M295" s="25">
        <f ca="1">IFERROR(__xludf.DUMMYFUNCTION("""COMPUTED_VALUE"""),89.81354)</f>
        <v>89.813540000000003</v>
      </c>
      <c r="N295" s="25"/>
      <c r="O2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5" s="25" t="str">
        <f ca="1">IFERROR(__xludf.DUMMYFUNCTION("""COMPUTED_VALUE"""),"ফলদ, বনজ")</f>
        <v>ফলদ, বনজ</v>
      </c>
      <c r="Q295" s="25">
        <f ca="1">IFERROR(__xludf.DUMMYFUNCTION("""COMPUTED_VALUE"""),5)</f>
        <v>5</v>
      </c>
      <c r="R295" s="25"/>
      <c r="S295" s="25"/>
      <c r="T295" s="25"/>
      <c r="U295" s="25" t="str">
        <f ca="1">IFERROR(__xludf.DUMMYFUNCTION("""COMPUTED_VALUE"""),"মোঃ ইব্রাহীম হোসেন")</f>
        <v>মোঃ ইব্রাহীম হোসেন</v>
      </c>
      <c r="V295" s="25" t="str">
        <f ca="1">IFERROR(__xludf.DUMMYFUNCTION("""COMPUTED_VALUE"""),"০১৮৪৮৫৯৪১৩৯")</f>
        <v>০১৮৪৮৫৯৪১৩৯</v>
      </c>
      <c r="W295" s="25" t="str">
        <f ca="1">IFERROR(__xludf.DUMMYFUNCTION("""COMPUTED_VALUE"""),"মোঃ মশিউর রহমান
")</f>
        <v xml:space="preserve">মোঃ মশিউর রহমান
</v>
      </c>
      <c r="X295" s="25" t="str">
        <f ca="1">IFERROR(__xludf.DUMMYFUNCTION("""COMPUTED_VALUE"""),"০১৭১২৩৪০৯৯৬")</f>
        <v>০১৭১২৩৪০৯৯৬</v>
      </c>
      <c r="Y295" s="25"/>
      <c r="Z295" s="25"/>
      <c r="AA295" s="25"/>
      <c r="AB295" s="25"/>
      <c r="AC295" s="25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spans="1:40" ht="15" customHeight="1" x14ac:dyDescent="0.15">
      <c r="A296" s="21"/>
      <c r="B296" s="21"/>
      <c r="C296" s="21" t="str">
        <f ca="1">IFERROR(__xludf.DUMMYFUNCTION("""COMPUTED_VALUE"""),"রংপুর")</f>
        <v>রংপুর</v>
      </c>
      <c r="D296" s="21" t="str">
        <f ca="1">IFERROR(__xludf.DUMMYFUNCTION("""COMPUTED_VALUE"""),"রংপুর")</f>
        <v>রংপুর</v>
      </c>
      <c r="E296" s="21" t="str">
        <f ca="1">IFERROR(__xludf.DUMMYFUNCTION("""COMPUTED_VALUE"""),"কুড়িগ্রাম")</f>
        <v>কুড়িগ্রাম</v>
      </c>
      <c r="F296" s="21" t="str">
        <f ca="1">IFERROR(__xludf.DUMMYFUNCTION("""COMPUTED_VALUE"""),"রৌমারী")</f>
        <v>রৌমারী</v>
      </c>
      <c r="G296" s="21" t="str">
        <f ca="1">IFERROR(__xludf.DUMMYFUNCTION("""COMPUTED_VALUE"""),"রৌমারী")</f>
        <v>রৌমারী</v>
      </c>
      <c r="H296" s="21" t="str">
        <f ca="1">IFERROR(__xludf.DUMMYFUNCTION("""COMPUTED_VALUE"""),"বড় মাদারটিলা")</f>
        <v>বড় মাদারটিলা</v>
      </c>
      <c r="I296" s="21"/>
      <c r="J296" s="21" t="str">
        <f ca="1">IFERROR(__xludf.DUMMYFUNCTION("""COMPUTED_VALUE"""),"প্রণোদনা")</f>
        <v>প্রণোদনা</v>
      </c>
      <c r="K296" s="21"/>
      <c r="L296" s="21">
        <f ca="1">IFERROR(__xludf.DUMMYFUNCTION("""COMPUTED_VALUE"""),25.527806)</f>
        <v>25.527806000000002</v>
      </c>
      <c r="M296" s="21">
        <f ca="1">IFERROR(__xludf.DUMMYFUNCTION("""COMPUTED_VALUE"""),89.827028)</f>
        <v>89.827027999999999</v>
      </c>
      <c r="N296" s="21"/>
      <c r="O2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6" s="21" t="str">
        <f ca="1">IFERROR(__xludf.DUMMYFUNCTION("""COMPUTED_VALUE"""),"ফলদ, বনজ")</f>
        <v>ফলদ, বনজ</v>
      </c>
      <c r="Q296" s="21">
        <f ca="1">IFERROR(__xludf.DUMMYFUNCTION("""COMPUTED_VALUE"""),5)</f>
        <v>5</v>
      </c>
      <c r="R296" s="21"/>
      <c r="S296" s="21"/>
      <c r="T296" s="21"/>
      <c r="U296" s="21" t="str">
        <f ca="1">IFERROR(__xludf.DUMMYFUNCTION("""COMPUTED_VALUE"""),"মোঃ মোকছেদুল আলম")</f>
        <v>মোঃ মোকছেদুল আলম</v>
      </c>
      <c r="V296" s="21">
        <f ca="1">IFERROR(__xludf.DUMMYFUNCTION("""COMPUTED_VALUE"""),1929827361)</f>
        <v>1929827361</v>
      </c>
      <c r="W296" s="21" t="str">
        <f ca="1">IFERROR(__xludf.DUMMYFUNCTION("""COMPUTED_VALUE"""),"মোঃ জিয়াউর রহমান")</f>
        <v>মোঃ জিয়াউর রহমান</v>
      </c>
      <c r="X296" s="21">
        <f ca="1">IFERROR(__xludf.DUMMYFUNCTION("""COMPUTED_VALUE"""),1912054284)</f>
        <v>1912054284</v>
      </c>
      <c r="Y296" s="21" t="str">
        <f ca="1">IFERROR(__xludf.DUMMYFUNCTION("""COMPUTED_VALUE"""),"মোঃ একরামুল হক")</f>
        <v>মোঃ একরামুল হক</v>
      </c>
      <c r="Z296" s="21">
        <f ca="1">IFERROR(__xludf.DUMMYFUNCTION("""COMPUTED_VALUE"""),1727358724)</f>
        <v>1727358724</v>
      </c>
      <c r="AA296" s="21"/>
      <c r="AB296" s="21"/>
      <c r="AC296" s="21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</row>
    <row r="297" spans="1:40" ht="13.5" customHeight="1" x14ac:dyDescent="0.15">
      <c r="A297" s="30"/>
      <c r="B297" s="30"/>
      <c r="C297" s="30" t="str">
        <f ca="1">IFERROR(__xludf.DUMMYFUNCTION("""COMPUTED_VALUE"""),"রংপুর")</f>
        <v>রংপুর</v>
      </c>
      <c r="D297" s="30" t="str">
        <f ca="1">IFERROR(__xludf.DUMMYFUNCTION("""COMPUTED_VALUE"""),"রংপুর")</f>
        <v>রংপুর</v>
      </c>
      <c r="E297" s="30" t="str">
        <f ca="1">IFERROR(__xludf.DUMMYFUNCTION("""COMPUTED_VALUE"""),"কুড়িগ্রাম")</f>
        <v>কুড়িগ্রাম</v>
      </c>
      <c r="F297" s="30" t="str">
        <f ca="1">IFERROR(__xludf.DUMMYFUNCTION("""COMPUTED_VALUE"""),"রৌমারী")</f>
        <v>রৌমারী</v>
      </c>
      <c r="G297" s="30" t="str">
        <f ca="1">IFERROR(__xludf.DUMMYFUNCTION("""COMPUTED_VALUE"""),"রৌমারী")</f>
        <v>রৌমারী</v>
      </c>
      <c r="H297" s="30" t="str">
        <f ca="1">IFERROR(__xludf.DUMMYFUNCTION("""COMPUTED_VALUE"""),"বড় মাদারটিলা")</f>
        <v>বড় মাদারটিলা</v>
      </c>
      <c r="I297" s="30"/>
      <c r="J297" s="30" t="str">
        <f ca="1">IFERROR(__xludf.DUMMYFUNCTION("""COMPUTED_VALUE"""),"প্রণোদনা")</f>
        <v>প্রণোদনা</v>
      </c>
      <c r="K297" s="30"/>
      <c r="L297" s="30">
        <f ca="1">IFERROR(__xludf.DUMMYFUNCTION("""COMPUTED_VALUE"""),25.527583)</f>
        <v>25.527583</v>
      </c>
      <c r="M297" s="30">
        <f ca="1">IFERROR(__xludf.DUMMYFUNCTION("""COMPUTED_VALUE"""),89.827361)</f>
        <v>89.827360999999996</v>
      </c>
      <c r="N297" s="31"/>
      <c r="O29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7" s="30" t="str">
        <f ca="1">IFERROR(__xludf.DUMMYFUNCTION("""COMPUTED_VALUE"""),"ফলদ, বনজ")</f>
        <v>ফলদ, বনজ</v>
      </c>
      <c r="Q297" s="30">
        <f ca="1">IFERROR(__xludf.DUMMYFUNCTION("""COMPUTED_VALUE"""),5)</f>
        <v>5</v>
      </c>
      <c r="R297" s="30"/>
      <c r="S297" s="30"/>
      <c r="T297" s="30"/>
      <c r="U297" s="30" t="str">
        <f ca="1">IFERROR(__xludf.DUMMYFUNCTION("""COMPUTED_VALUE"""),"মোঃ রিয়াজ উদ্দিন")</f>
        <v>মোঃ রিয়াজ উদ্দিন</v>
      </c>
      <c r="V297" s="30">
        <f ca="1">IFERROR(__xludf.DUMMYFUNCTION("""COMPUTED_VALUE"""),1932817165)</f>
        <v>1932817165</v>
      </c>
      <c r="W297" s="30" t="str">
        <f ca="1">IFERROR(__xludf.DUMMYFUNCTION("""COMPUTED_VALUE"""),"মোঃ জিয়াউর রহমান")</f>
        <v>মোঃ জিয়াউর রহমান</v>
      </c>
      <c r="X297" s="30">
        <f ca="1">IFERROR(__xludf.DUMMYFUNCTION("""COMPUTED_VALUE"""),1912054284)</f>
        <v>1912054284</v>
      </c>
      <c r="Y297" s="30" t="str">
        <f ca="1">IFERROR(__xludf.DUMMYFUNCTION("""COMPUTED_VALUE"""),"মোঃ একরামুল হক")</f>
        <v>মোঃ একরামুল হক</v>
      </c>
      <c r="Z297" s="30">
        <f ca="1">IFERROR(__xludf.DUMMYFUNCTION("""COMPUTED_VALUE"""),1727358724)</f>
        <v>1727358724</v>
      </c>
      <c r="AA297" s="30"/>
      <c r="AB297" s="30"/>
      <c r="AC297" s="30"/>
      <c r="AD297" s="30"/>
    </row>
    <row r="298" spans="1:40" ht="13.5" customHeight="1" x14ac:dyDescent="0.15">
      <c r="A298" s="30"/>
      <c r="B298" s="30"/>
      <c r="C298" s="30" t="str">
        <f ca="1">IFERROR(__xludf.DUMMYFUNCTION("""COMPUTED_VALUE"""),"রংপুর")</f>
        <v>রংপুর</v>
      </c>
      <c r="D298" s="30" t="str">
        <f ca="1">IFERROR(__xludf.DUMMYFUNCTION("""COMPUTED_VALUE"""),"রংপুর")</f>
        <v>রংপুর</v>
      </c>
      <c r="E298" s="30" t="str">
        <f ca="1">IFERROR(__xludf.DUMMYFUNCTION("""COMPUTED_VALUE"""),"কুড়িগ্রাম")</f>
        <v>কুড়িগ্রাম</v>
      </c>
      <c r="F298" s="30" t="str">
        <f ca="1">IFERROR(__xludf.DUMMYFUNCTION("""COMPUTED_VALUE"""),"রৌমারী")</f>
        <v>রৌমারী</v>
      </c>
      <c r="G298" s="30" t="str">
        <f ca="1">IFERROR(__xludf.DUMMYFUNCTION("""COMPUTED_VALUE"""),"রৌমারী")</f>
        <v>রৌমারী</v>
      </c>
      <c r="H298" s="30" t="str">
        <f ca="1">IFERROR(__xludf.DUMMYFUNCTION("""COMPUTED_VALUE"""),"খাঁ পাড়া")</f>
        <v>খাঁ পাড়া</v>
      </c>
      <c r="I298" s="30"/>
      <c r="J298" s="30" t="str">
        <f ca="1">IFERROR(__xludf.DUMMYFUNCTION("""COMPUTED_VALUE"""),"প্রণোদনা")</f>
        <v>প্রণোদনা</v>
      </c>
      <c r="K298" s="30"/>
      <c r="L298" s="30">
        <f ca="1">IFERROR(__xludf.DUMMYFUNCTION("""COMPUTED_VALUE"""),25.548056)</f>
        <v>25.548055999999999</v>
      </c>
      <c r="M298" s="30">
        <f ca="1">IFERROR(__xludf.DUMMYFUNCTION("""COMPUTED_VALUE"""),89.819861)</f>
        <v>89.819861000000003</v>
      </c>
      <c r="N298" s="31"/>
      <c r="O29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8" s="30" t="str">
        <f ca="1">IFERROR(__xludf.DUMMYFUNCTION("""COMPUTED_VALUE"""),"ফলদ, বনজ")</f>
        <v>ফলদ, বনজ</v>
      </c>
      <c r="Q298" s="30">
        <f ca="1">IFERROR(__xludf.DUMMYFUNCTION("""COMPUTED_VALUE"""),5)</f>
        <v>5</v>
      </c>
      <c r="R298" s="30"/>
      <c r="S298" s="30"/>
      <c r="T298" s="30"/>
      <c r="U298" s="30" t="str">
        <f ca="1">IFERROR(__xludf.DUMMYFUNCTION("""COMPUTED_VALUE"""),"মোঃ রিয়াজুল হক")</f>
        <v>মোঃ রিয়াজুল হক</v>
      </c>
      <c r="V298" s="30">
        <f ca="1">IFERROR(__xludf.DUMMYFUNCTION("""COMPUTED_VALUE"""),1908891803)</f>
        <v>1908891803</v>
      </c>
      <c r="W298" s="30" t="str">
        <f ca="1">IFERROR(__xludf.DUMMYFUNCTION("""COMPUTED_VALUE"""),"মোঃ জিয়াউর রহমান")</f>
        <v>মোঃ জিয়াউর রহমান</v>
      </c>
      <c r="X298" s="30">
        <f ca="1">IFERROR(__xludf.DUMMYFUNCTION("""COMPUTED_VALUE"""),1912054284)</f>
        <v>1912054284</v>
      </c>
      <c r="Y298" s="30" t="str">
        <f ca="1">IFERROR(__xludf.DUMMYFUNCTION("""COMPUTED_VALUE"""),"মোঃ একরামুল হক")</f>
        <v>মোঃ একরামুল হক</v>
      </c>
      <c r="Z298" s="30">
        <f ca="1">IFERROR(__xludf.DUMMYFUNCTION("""COMPUTED_VALUE"""),1727358724)</f>
        <v>1727358724</v>
      </c>
      <c r="AA298" s="30"/>
      <c r="AB298" s="30"/>
      <c r="AC298" s="30"/>
      <c r="AD298" s="30"/>
    </row>
    <row r="299" spans="1:40" ht="13.5" customHeight="1" x14ac:dyDescent="0.15">
      <c r="A299" s="30"/>
      <c r="B299" s="30"/>
      <c r="C299" s="30" t="str">
        <f ca="1">IFERROR(__xludf.DUMMYFUNCTION("""COMPUTED_VALUE"""),"রংপুর")</f>
        <v>রংপুর</v>
      </c>
      <c r="D299" s="30" t="str">
        <f ca="1">IFERROR(__xludf.DUMMYFUNCTION("""COMPUTED_VALUE"""),"রংপুর")</f>
        <v>রংপুর</v>
      </c>
      <c r="E299" s="30" t="str">
        <f ca="1">IFERROR(__xludf.DUMMYFUNCTION("""COMPUTED_VALUE"""),"কুড়িগ্রাম")</f>
        <v>কুড়িগ্রাম</v>
      </c>
      <c r="F299" s="30" t="str">
        <f ca="1">IFERROR(__xludf.DUMMYFUNCTION("""COMPUTED_VALUE"""),"রৌমারী")</f>
        <v>রৌমারী</v>
      </c>
      <c r="G299" s="30" t="str">
        <f ca="1">IFERROR(__xludf.DUMMYFUNCTION("""COMPUTED_VALUE"""),"রৌমারী")</f>
        <v>রৌমারী</v>
      </c>
      <c r="H299" s="30" t="str">
        <f ca="1">IFERROR(__xludf.DUMMYFUNCTION("""COMPUTED_VALUE"""),"বাওয়ার গ্রাম")</f>
        <v>বাওয়ার গ্রাম</v>
      </c>
      <c r="I299" s="30"/>
      <c r="J299" s="30" t="str">
        <f ca="1">IFERROR(__xludf.DUMMYFUNCTION("""COMPUTED_VALUE"""),"প্রণোদনা")</f>
        <v>প্রণোদনা</v>
      </c>
      <c r="K299" s="30"/>
      <c r="L299" s="30">
        <f ca="1">IFERROR(__xludf.DUMMYFUNCTION("""COMPUTED_VALUE"""),25.543056)</f>
        <v>25.543056</v>
      </c>
      <c r="M299" s="30">
        <f ca="1">IFERROR(__xludf.DUMMYFUNCTION("""COMPUTED_VALUE"""),89.812472)</f>
        <v>89.812472</v>
      </c>
      <c r="N299" s="31"/>
      <c r="O29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9" s="30" t="str">
        <f ca="1">IFERROR(__xludf.DUMMYFUNCTION("""COMPUTED_VALUE"""),"ফলদ, বনজ")</f>
        <v>ফলদ, বনজ</v>
      </c>
      <c r="Q299" s="30">
        <f ca="1">IFERROR(__xludf.DUMMYFUNCTION("""COMPUTED_VALUE"""),5)</f>
        <v>5</v>
      </c>
      <c r="R299" s="30"/>
      <c r="S299" s="30"/>
      <c r="T299" s="30"/>
      <c r="U299" s="30" t="str">
        <f ca="1">IFERROR(__xludf.DUMMYFUNCTION("""COMPUTED_VALUE"""),"মোঃ সাদেক হোসেন")</f>
        <v>মোঃ সাদেক হোসেন</v>
      </c>
      <c r="V299" s="30">
        <f ca="1">IFERROR(__xludf.DUMMYFUNCTION("""COMPUTED_VALUE"""),1714565543)</f>
        <v>1714565543</v>
      </c>
      <c r="W299" s="30" t="str">
        <f ca="1">IFERROR(__xludf.DUMMYFUNCTION("""COMPUTED_VALUE"""),"মোঃ জিয়াউর রহমান")</f>
        <v>মোঃ জিয়াউর রহমান</v>
      </c>
      <c r="X299" s="30">
        <f ca="1">IFERROR(__xludf.DUMMYFUNCTION("""COMPUTED_VALUE"""),1912054284)</f>
        <v>1912054284</v>
      </c>
      <c r="Y299" s="30" t="str">
        <f ca="1">IFERROR(__xludf.DUMMYFUNCTION("""COMPUTED_VALUE"""),"মোঃ একরামুল হক")</f>
        <v>মোঃ একরামুল হক</v>
      </c>
      <c r="Z299" s="30">
        <f ca="1">IFERROR(__xludf.DUMMYFUNCTION("""COMPUTED_VALUE"""),1727358724)</f>
        <v>1727358724</v>
      </c>
      <c r="AA299" s="30"/>
      <c r="AB299" s="30"/>
      <c r="AC299" s="30"/>
      <c r="AD299" s="30"/>
    </row>
    <row r="300" spans="1:40" ht="13.5" customHeight="1" x14ac:dyDescent="0.15">
      <c r="A300" s="30"/>
      <c r="B300" s="30"/>
      <c r="C300" s="30" t="str">
        <f ca="1">IFERROR(__xludf.DUMMYFUNCTION("""COMPUTED_VALUE"""),"রংপুর")</f>
        <v>রংপুর</v>
      </c>
      <c r="D300" s="30" t="str">
        <f ca="1">IFERROR(__xludf.DUMMYFUNCTION("""COMPUTED_VALUE"""),"রংপুর")</f>
        <v>রংপুর</v>
      </c>
      <c r="E300" s="30" t="str">
        <f ca="1">IFERROR(__xludf.DUMMYFUNCTION("""COMPUTED_VALUE"""),"কুড়িগ্রাম")</f>
        <v>কুড়িগ্রাম</v>
      </c>
      <c r="F300" s="30" t="str">
        <f ca="1">IFERROR(__xludf.DUMMYFUNCTION("""COMPUTED_VALUE"""),"রৌমারী")</f>
        <v>রৌমারী</v>
      </c>
      <c r="G300" s="30" t="str">
        <f ca="1">IFERROR(__xludf.DUMMYFUNCTION("""COMPUTED_VALUE"""),"রৌমারী")</f>
        <v>রৌমারী</v>
      </c>
      <c r="H300" s="30" t="str">
        <f ca="1">IFERROR(__xludf.DUMMYFUNCTION("""COMPUTED_VALUE"""),"ফলুয়ার চর")</f>
        <v>ফলুয়ার চর</v>
      </c>
      <c r="I300" s="30"/>
      <c r="J300" s="30" t="str">
        <f ca="1">IFERROR(__xludf.DUMMYFUNCTION("""COMPUTED_VALUE"""),"প্রণোদনা")</f>
        <v>প্রণোদনা</v>
      </c>
      <c r="K300" s="30"/>
      <c r="L300" s="30">
        <f ca="1">IFERROR(__xludf.DUMMYFUNCTION("""COMPUTED_VALUE"""),25.560167)</f>
        <v>25.560167</v>
      </c>
      <c r="M300" s="30">
        <f ca="1">IFERROR(__xludf.DUMMYFUNCTION("""COMPUTED_VALUE"""),89.787528)</f>
        <v>89.787527999999995</v>
      </c>
      <c r="N300" s="31"/>
      <c r="O300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0" s="30" t="str">
        <f ca="1">IFERROR(__xludf.DUMMYFUNCTION("""COMPUTED_VALUE"""),"ফলদ, বনজ")</f>
        <v>ফলদ, বনজ</v>
      </c>
      <c r="Q300" s="30">
        <f ca="1">IFERROR(__xludf.DUMMYFUNCTION("""COMPUTED_VALUE"""),5)</f>
        <v>5</v>
      </c>
      <c r="R300" s="30"/>
      <c r="S300" s="30"/>
      <c r="T300" s="30"/>
      <c r="U300" s="30" t="str">
        <f ca="1">IFERROR(__xludf.DUMMYFUNCTION("""COMPUTED_VALUE"""),"মোছাঃ লাইলী বেগম")</f>
        <v>মোছাঃ লাইলী বেগম</v>
      </c>
      <c r="V300" s="30">
        <f ca="1">IFERROR(__xludf.DUMMYFUNCTION("""COMPUTED_VALUE"""),1962824315)</f>
        <v>1962824315</v>
      </c>
      <c r="W300" s="30" t="str">
        <f ca="1">IFERROR(__xludf.DUMMYFUNCTION("""COMPUTED_VALUE"""),"মোঃ জিয়াউর রহমান")</f>
        <v>মোঃ জিয়াউর রহমান</v>
      </c>
      <c r="X300" s="30">
        <f ca="1">IFERROR(__xludf.DUMMYFUNCTION("""COMPUTED_VALUE"""),1912054284)</f>
        <v>1912054284</v>
      </c>
      <c r="Y300" s="30" t="str">
        <f ca="1">IFERROR(__xludf.DUMMYFUNCTION("""COMPUTED_VALUE"""),"মোঃ একরামুল হক")</f>
        <v>মোঃ একরামুল হক</v>
      </c>
      <c r="Z300" s="30">
        <f ca="1">IFERROR(__xludf.DUMMYFUNCTION("""COMPUTED_VALUE"""),1727358724)</f>
        <v>1727358724</v>
      </c>
      <c r="AA300" s="30"/>
      <c r="AB300" s="30"/>
      <c r="AC300" s="30"/>
      <c r="AD300" s="30"/>
    </row>
    <row r="301" spans="1:40" ht="13.5" customHeight="1" x14ac:dyDescent="0.15">
      <c r="A301" s="30"/>
      <c r="B301" s="30"/>
      <c r="C301" s="30" t="str">
        <f ca="1">IFERROR(__xludf.DUMMYFUNCTION("""COMPUTED_VALUE"""),"রংপুর")</f>
        <v>রংপুর</v>
      </c>
      <c r="D301" s="30" t="str">
        <f ca="1">IFERROR(__xludf.DUMMYFUNCTION("""COMPUTED_VALUE"""),"রংপুর")</f>
        <v>রংপুর</v>
      </c>
      <c r="E301" s="30" t="str">
        <f ca="1">IFERROR(__xludf.DUMMYFUNCTION("""COMPUTED_VALUE"""),"কুড়িগ্রাম")</f>
        <v>কুড়িগ্রাম</v>
      </c>
      <c r="F301" s="30" t="str">
        <f ca="1">IFERROR(__xludf.DUMMYFUNCTION("""COMPUTED_VALUE"""),"রৌমারী")</f>
        <v>রৌমারী</v>
      </c>
      <c r="G301" s="30" t="str">
        <f ca="1">IFERROR(__xludf.DUMMYFUNCTION("""COMPUTED_VALUE"""),"রৌমারী")</f>
        <v>রৌমারী</v>
      </c>
      <c r="H301" s="30" t="str">
        <f ca="1">IFERROR(__xludf.DUMMYFUNCTION("""COMPUTED_VALUE"""),"গোয়াল গ্রাম")</f>
        <v>গোয়াল গ্রাম</v>
      </c>
      <c r="I301" s="30"/>
      <c r="J301" s="30" t="str">
        <f ca="1">IFERROR(__xludf.DUMMYFUNCTION("""COMPUTED_VALUE"""),"প্রণোদনা")</f>
        <v>প্রণোদনা</v>
      </c>
      <c r="K301" s="30"/>
      <c r="L301" s="30">
        <f ca="1">IFERROR(__xludf.DUMMYFUNCTION("""COMPUTED_VALUE"""),25.54925)</f>
        <v>25.549250000000001</v>
      </c>
      <c r="M301" s="30">
        <f ca="1">IFERROR(__xludf.DUMMYFUNCTION("""COMPUTED_VALUE"""),89.834)</f>
        <v>89.834000000000003</v>
      </c>
      <c r="N301" s="31"/>
      <c r="O301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1" s="30" t="str">
        <f ca="1">IFERROR(__xludf.DUMMYFUNCTION("""COMPUTED_VALUE"""),"ফলদ, বনজ")</f>
        <v>ফলদ, বনজ</v>
      </c>
      <c r="Q301" s="30">
        <f ca="1">IFERROR(__xludf.DUMMYFUNCTION("""COMPUTED_VALUE"""),5)</f>
        <v>5</v>
      </c>
      <c r="R301" s="30"/>
      <c r="S301" s="30"/>
      <c r="T301" s="30"/>
      <c r="U301" s="30" t="str">
        <f ca="1">IFERROR(__xludf.DUMMYFUNCTION("""COMPUTED_VALUE"""),"মোঃ সুরুজ্জামান")</f>
        <v>মোঃ সুরুজ্জামান</v>
      </c>
      <c r="V301" s="30">
        <f ca="1">IFERROR(__xludf.DUMMYFUNCTION("""COMPUTED_VALUE"""),1947841670)</f>
        <v>1947841670</v>
      </c>
      <c r="W301" s="30" t="str">
        <f ca="1">IFERROR(__xludf.DUMMYFUNCTION("""COMPUTED_VALUE"""),"মোঃ জিয়াউর রহমান")</f>
        <v>মোঃ জিয়াউর রহমান</v>
      </c>
      <c r="X301" s="30">
        <f ca="1">IFERROR(__xludf.DUMMYFUNCTION("""COMPUTED_VALUE"""),1912054284)</f>
        <v>1912054284</v>
      </c>
      <c r="Y301" s="30" t="str">
        <f ca="1">IFERROR(__xludf.DUMMYFUNCTION("""COMPUTED_VALUE"""),"মোঃ একরামুল হক")</f>
        <v>মোঃ একরামুল হক</v>
      </c>
      <c r="Z301" s="30">
        <f ca="1">IFERROR(__xludf.DUMMYFUNCTION("""COMPUTED_VALUE"""),1727358724)</f>
        <v>1727358724</v>
      </c>
      <c r="AA301" s="30"/>
      <c r="AB301" s="30"/>
      <c r="AC301" s="30"/>
      <c r="AD301" s="30"/>
    </row>
    <row r="302" spans="1:40" ht="13.5" customHeight="1" x14ac:dyDescent="0.15">
      <c r="A302" s="30"/>
      <c r="B302" s="30"/>
      <c r="C302" s="30" t="str">
        <f ca="1">IFERROR(__xludf.DUMMYFUNCTION("""COMPUTED_VALUE"""),"রংপুর")</f>
        <v>রংপুর</v>
      </c>
      <c r="D302" s="30" t="str">
        <f ca="1">IFERROR(__xludf.DUMMYFUNCTION("""COMPUTED_VALUE"""),"রংপুর")</f>
        <v>রংপুর</v>
      </c>
      <c r="E302" s="30" t="str">
        <f ca="1">IFERROR(__xludf.DUMMYFUNCTION("""COMPUTED_VALUE"""),"কুড়িগ্রাম")</f>
        <v>কুড়িগ্রাম</v>
      </c>
      <c r="F302" s="30" t="str">
        <f ca="1">IFERROR(__xludf.DUMMYFUNCTION("""COMPUTED_VALUE"""),"রৌমারী")</f>
        <v>রৌমারী</v>
      </c>
      <c r="G302" s="30" t="str">
        <f ca="1">IFERROR(__xludf.DUMMYFUNCTION("""COMPUTED_VALUE"""),"রৌমারী")</f>
        <v>রৌমারী</v>
      </c>
      <c r="H302" s="30" t="str">
        <f ca="1">IFERROR(__xludf.DUMMYFUNCTION("""COMPUTED_VALUE"""),"গোয়াল গ্রাম")</f>
        <v>গোয়াল গ্রাম</v>
      </c>
      <c r="I302" s="30"/>
      <c r="J302" s="30" t="str">
        <f ca="1">IFERROR(__xludf.DUMMYFUNCTION("""COMPUTED_VALUE"""),"প্রণোদনা")</f>
        <v>প্রণোদনা</v>
      </c>
      <c r="K302" s="30"/>
      <c r="L302" s="30">
        <f ca="1">IFERROR(__xludf.DUMMYFUNCTION("""COMPUTED_VALUE"""),25.543806)</f>
        <v>25.543806</v>
      </c>
      <c r="M302" s="30">
        <f ca="1">IFERROR(__xludf.DUMMYFUNCTION("""COMPUTED_VALUE"""),89.832667)</f>
        <v>89.832667000000001</v>
      </c>
      <c r="N302" s="31"/>
      <c r="O302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2" s="30" t="str">
        <f ca="1">IFERROR(__xludf.DUMMYFUNCTION("""COMPUTED_VALUE"""),"ফলদ, বনজ")</f>
        <v>ফলদ, বনজ</v>
      </c>
      <c r="Q302" s="30">
        <f ca="1">IFERROR(__xludf.DUMMYFUNCTION("""COMPUTED_VALUE"""),5)</f>
        <v>5</v>
      </c>
      <c r="R302" s="30"/>
      <c r="S302" s="30"/>
      <c r="T302" s="30"/>
      <c r="U302" s="30" t="str">
        <f ca="1">IFERROR(__xludf.DUMMYFUNCTION("""COMPUTED_VALUE"""),"মোঃ আঃ ছামাদ")</f>
        <v>মোঃ আঃ ছামাদ</v>
      </c>
      <c r="V302" s="30">
        <f ca="1">IFERROR(__xludf.DUMMYFUNCTION("""COMPUTED_VALUE"""),1916721338)</f>
        <v>1916721338</v>
      </c>
      <c r="W302" s="30" t="str">
        <f ca="1">IFERROR(__xludf.DUMMYFUNCTION("""COMPUTED_VALUE"""),"মোঃ জিয়াউর রহমান")</f>
        <v>মোঃ জিয়াউর রহমান</v>
      </c>
      <c r="X302" s="30">
        <f ca="1">IFERROR(__xludf.DUMMYFUNCTION("""COMPUTED_VALUE"""),1912054284)</f>
        <v>1912054284</v>
      </c>
      <c r="Y302" s="30" t="str">
        <f ca="1">IFERROR(__xludf.DUMMYFUNCTION("""COMPUTED_VALUE"""),"মোঃ একরামুল হক")</f>
        <v>মোঃ একরামুল হক</v>
      </c>
      <c r="Z302" s="30">
        <f ca="1">IFERROR(__xludf.DUMMYFUNCTION("""COMPUTED_VALUE"""),1727358724)</f>
        <v>1727358724</v>
      </c>
      <c r="AA302" s="30"/>
      <c r="AB302" s="30"/>
      <c r="AC302" s="30"/>
      <c r="AD302" s="30"/>
    </row>
    <row r="303" spans="1:40" ht="13.5" customHeight="1" x14ac:dyDescent="0.15">
      <c r="A303" s="30"/>
      <c r="B303" s="30"/>
      <c r="C303" s="30" t="str">
        <f ca="1">IFERROR(__xludf.DUMMYFUNCTION("""COMPUTED_VALUE"""),"রংপুর")</f>
        <v>রংপুর</v>
      </c>
      <c r="D303" s="30" t="str">
        <f ca="1">IFERROR(__xludf.DUMMYFUNCTION("""COMPUTED_VALUE"""),"রংপুর")</f>
        <v>রংপুর</v>
      </c>
      <c r="E303" s="30" t="str">
        <f ca="1">IFERROR(__xludf.DUMMYFUNCTION("""COMPUTED_VALUE"""),"কুড়িগ্রাম")</f>
        <v>কুড়িগ্রাম</v>
      </c>
      <c r="F303" s="30" t="str">
        <f ca="1">IFERROR(__xludf.DUMMYFUNCTION("""COMPUTED_VALUE"""),"রৌমারী")</f>
        <v>রৌমারী</v>
      </c>
      <c r="G303" s="30" t="str">
        <f ca="1">IFERROR(__xludf.DUMMYFUNCTION("""COMPUTED_VALUE"""),"রৌমারী")</f>
        <v>রৌমারী</v>
      </c>
      <c r="H303" s="30" t="str">
        <f ca="1">IFERROR(__xludf.DUMMYFUNCTION("""COMPUTED_VALUE"""),"কান্দা পাড়া")</f>
        <v>কান্দা পাড়া</v>
      </c>
      <c r="I303" s="30"/>
      <c r="J303" s="30" t="str">
        <f ca="1">IFERROR(__xludf.DUMMYFUNCTION("""COMPUTED_VALUE"""),"প্রণোদনা")</f>
        <v>প্রণোদনা</v>
      </c>
      <c r="K303" s="30"/>
      <c r="L303" s="30">
        <f ca="1">IFERROR(__xludf.DUMMYFUNCTION("""COMPUTED_VALUE"""),25.551278)</f>
        <v>25.551278</v>
      </c>
      <c r="M303" s="30">
        <f ca="1">IFERROR(__xludf.DUMMYFUNCTION("""COMPUTED_VALUE"""),89.80525)</f>
        <v>89.805250000000001</v>
      </c>
      <c r="N303" s="31"/>
      <c r="O30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3" s="30" t="str">
        <f ca="1">IFERROR(__xludf.DUMMYFUNCTION("""COMPUTED_VALUE"""),"ফলদ, বনজ")</f>
        <v>ফলদ, বনজ</v>
      </c>
      <c r="Q303" s="30">
        <f ca="1">IFERROR(__xludf.DUMMYFUNCTION("""COMPUTED_VALUE"""),5)</f>
        <v>5</v>
      </c>
      <c r="R303" s="30"/>
      <c r="S303" s="30"/>
      <c r="T303" s="30"/>
      <c r="U303" s="30" t="str">
        <f ca="1">IFERROR(__xludf.DUMMYFUNCTION("""COMPUTED_VALUE"""),"মোছাঃ জমিরন খাতুন")</f>
        <v>মোছাঃ জমিরন খাতুন</v>
      </c>
      <c r="V303" s="30">
        <f ca="1">IFERROR(__xludf.DUMMYFUNCTION("""COMPUTED_VALUE"""),1962076864)</f>
        <v>1962076864</v>
      </c>
      <c r="W303" s="30" t="str">
        <f ca="1">IFERROR(__xludf.DUMMYFUNCTION("""COMPUTED_VALUE"""),"মোঃ জিয়াউর রহমান")</f>
        <v>মোঃ জিয়াউর রহমান</v>
      </c>
      <c r="X303" s="30">
        <f ca="1">IFERROR(__xludf.DUMMYFUNCTION("""COMPUTED_VALUE"""),1912054284)</f>
        <v>1912054284</v>
      </c>
      <c r="Y303" s="30" t="str">
        <f ca="1">IFERROR(__xludf.DUMMYFUNCTION("""COMPUTED_VALUE"""),"মোঃ একরামুল হক")</f>
        <v>মোঃ একরামুল হক</v>
      </c>
      <c r="Z303" s="30">
        <f ca="1">IFERROR(__xludf.DUMMYFUNCTION("""COMPUTED_VALUE"""),1727358724)</f>
        <v>1727358724</v>
      </c>
      <c r="AA303" s="30"/>
      <c r="AB303" s="30"/>
      <c r="AC303" s="30"/>
      <c r="AD303" s="30"/>
    </row>
    <row r="304" spans="1:40" ht="13.5" customHeight="1" x14ac:dyDescent="0.15">
      <c r="A304" s="30"/>
      <c r="B304" s="30"/>
      <c r="C304" s="30" t="str">
        <f ca="1">IFERROR(__xludf.DUMMYFUNCTION("""COMPUTED_VALUE"""),"রংপুর")</f>
        <v>রংপুর</v>
      </c>
      <c r="D304" s="30" t="str">
        <f ca="1">IFERROR(__xludf.DUMMYFUNCTION("""COMPUTED_VALUE"""),"রংপুর")</f>
        <v>রংপুর</v>
      </c>
      <c r="E304" s="30" t="str">
        <f ca="1">IFERROR(__xludf.DUMMYFUNCTION("""COMPUTED_VALUE"""),"কুড়িগ্রাম")</f>
        <v>কুড়িগ্রাম</v>
      </c>
      <c r="F304" s="30" t="str">
        <f ca="1">IFERROR(__xludf.DUMMYFUNCTION("""COMPUTED_VALUE"""),"রৌমারী")</f>
        <v>রৌমারী</v>
      </c>
      <c r="G304" s="30" t="str">
        <f ca="1">IFERROR(__xludf.DUMMYFUNCTION("""COMPUTED_VALUE"""),"রৌমারী")</f>
        <v>রৌমারী</v>
      </c>
      <c r="H304" s="30" t="str">
        <f ca="1">IFERROR(__xludf.DUMMYFUNCTION("""COMPUTED_VALUE"""),"কান্দা পাড়া")</f>
        <v>কান্দা পাড়া</v>
      </c>
      <c r="I304" s="30"/>
      <c r="J304" s="30" t="str">
        <f ca="1">IFERROR(__xludf.DUMMYFUNCTION("""COMPUTED_VALUE"""),"প্রণোদনা")</f>
        <v>প্রণোদনা</v>
      </c>
      <c r="K304" s="30"/>
      <c r="L304" s="30">
        <f ca="1">IFERROR(__xludf.DUMMYFUNCTION("""COMPUTED_VALUE"""),25.551528)</f>
        <v>25.551528000000001</v>
      </c>
      <c r="M304" s="30">
        <f ca="1">IFERROR(__xludf.DUMMYFUNCTION("""COMPUTED_VALUE"""),89.804139)</f>
        <v>89.804139000000006</v>
      </c>
      <c r="N304" s="31"/>
      <c r="O30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4" s="30" t="str">
        <f ca="1">IFERROR(__xludf.DUMMYFUNCTION("""COMPUTED_VALUE"""),"ফলদ, বনজ")</f>
        <v>ফলদ, বনজ</v>
      </c>
      <c r="Q304" s="30">
        <f ca="1">IFERROR(__xludf.DUMMYFUNCTION("""COMPUTED_VALUE"""),5)</f>
        <v>5</v>
      </c>
      <c r="R304" s="30"/>
      <c r="S304" s="30"/>
      <c r="T304" s="30"/>
      <c r="U304" s="30" t="str">
        <f ca="1">IFERROR(__xludf.DUMMYFUNCTION("""COMPUTED_VALUE"""),"মোঃ হাসমত আলী")</f>
        <v>মোঃ হাসমত আলী</v>
      </c>
      <c r="V304" s="30">
        <f ca="1">IFERROR(__xludf.DUMMYFUNCTION("""COMPUTED_VALUE"""),1965486449)</f>
        <v>1965486449</v>
      </c>
      <c r="W304" s="30" t="str">
        <f ca="1">IFERROR(__xludf.DUMMYFUNCTION("""COMPUTED_VALUE"""),"মোঃ জিয়াউর রহমান")</f>
        <v>মোঃ জিয়াউর রহমান</v>
      </c>
      <c r="X304" s="30">
        <f ca="1">IFERROR(__xludf.DUMMYFUNCTION("""COMPUTED_VALUE"""),1912054284)</f>
        <v>1912054284</v>
      </c>
      <c r="Y304" s="30" t="str">
        <f ca="1">IFERROR(__xludf.DUMMYFUNCTION("""COMPUTED_VALUE"""),"মোঃ একরামুল হক")</f>
        <v>মোঃ একরামুল হক</v>
      </c>
      <c r="Z304" s="30">
        <f ca="1">IFERROR(__xludf.DUMMYFUNCTION("""COMPUTED_VALUE"""),1727358724)</f>
        <v>1727358724</v>
      </c>
      <c r="AA304" s="30"/>
      <c r="AB304" s="30"/>
      <c r="AC304" s="30"/>
      <c r="AD304" s="30"/>
    </row>
    <row r="305" spans="1:30" ht="13.5" customHeight="1" x14ac:dyDescent="0.15">
      <c r="A305" s="30"/>
      <c r="B305" s="30"/>
      <c r="C305" s="30" t="str">
        <f ca="1">IFERROR(__xludf.DUMMYFUNCTION("""COMPUTED_VALUE"""),"রংপুর")</f>
        <v>রংপুর</v>
      </c>
      <c r="D305" s="30" t="str">
        <f ca="1">IFERROR(__xludf.DUMMYFUNCTION("""COMPUTED_VALUE"""),"রংপুর")</f>
        <v>রংপুর</v>
      </c>
      <c r="E305" s="30" t="str">
        <f ca="1">IFERROR(__xludf.DUMMYFUNCTION("""COMPUTED_VALUE"""),"কুড়িগ্রাম")</f>
        <v>কুড়িগ্রাম</v>
      </c>
      <c r="F305" s="30" t="str">
        <f ca="1">IFERROR(__xludf.DUMMYFUNCTION("""COMPUTED_VALUE"""),"রৌমারী")</f>
        <v>রৌমারী</v>
      </c>
      <c r="G305" s="30" t="str">
        <f ca="1">IFERROR(__xludf.DUMMYFUNCTION("""COMPUTED_VALUE"""),"রৌমারী")</f>
        <v>রৌমারী</v>
      </c>
      <c r="H305" s="30" t="str">
        <f ca="1">IFERROR(__xludf.DUMMYFUNCTION("""COMPUTED_VALUE"""),"কান্দা পাড়া")</f>
        <v>কান্দা পাড়া</v>
      </c>
      <c r="I305" s="30"/>
      <c r="J305" s="30" t="str">
        <f ca="1">IFERROR(__xludf.DUMMYFUNCTION("""COMPUTED_VALUE"""),"প্রণোদনা")</f>
        <v>প্রণোদনা</v>
      </c>
      <c r="K305" s="30"/>
      <c r="L305" s="30">
        <f ca="1">IFERROR(__xludf.DUMMYFUNCTION("""COMPUTED_VALUE"""),25.54375)</f>
        <v>25.543749999999999</v>
      </c>
      <c r="M305" s="30">
        <f ca="1">IFERROR(__xludf.DUMMYFUNCTION("""COMPUTED_VALUE"""),89.806639)</f>
        <v>89.806639000000004</v>
      </c>
      <c r="N305" s="31"/>
      <c r="O305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5" s="30" t="str">
        <f ca="1">IFERROR(__xludf.DUMMYFUNCTION("""COMPUTED_VALUE"""),"ফলদ, বনজ")</f>
        <v>ফলদ, বনজ</v>
      </c>
      <c r="Q305" s="30">
        <f ca="1">IFERROR(__xludf.DUMMYFUNCTION("""COMPUTED_VALUE"""),5)</f>
        <v>5</v>
      </c>
      <c r="R305" s="30"/>
      <c r="S305" s="30"/>
      <c r="T305" s="30"/>
      <c r="U305" s="30" t="str">
        <f ca="1">IFERROR(__xludf.DUMMYFUNCTION("""COMPUTED_VALUE"""),"মোঃ সাইফুল ইসলাম")</f>
        <v>মোঃ সাইফুল ইসলাম</v>
      </c>
      <c r="V305" s="30">
        <f ca="1">IFERROR(__xludf.DUMMYFUNCTION("""COMPUTED_VALUE"""),1875908287)</f>
        <v>1875908287</v>
      </c>
      <c r="W305" s="30" t="str">
        <f ca="1">IFERROR(__xludf.DUMMYFUNCTION("""COMPUTED_VALUE"""),"মোঃ জিয়াউর রহমান")</f>
        <v>মোঃ জিয়াউর রহমান</v>
      </c>
      <c r="X305" s="30">
        <f ca="1">IFERROR(__xludf.DUMMYFUNCTION("""COMPUTED_VALUE"""),1912054284)</f>
        <v>1912054284</v>
      </c>
      <c r="Y305" s="30" t="str">
        <f ca="1">IFERROR(__xludf.DUMMYFUNCTION("""COMPUTED_VALUE"""),"মোঃ একরামুল হক")</f>
        <v>মোঃ একরামুল হক</v>
      </c>
      <c r="Z305" s="30">
        <f ca="1">IFERROR(__xludf.DUMMYFUNCTION("""COMPUTED_VALUE"""),1727358724)</f>
        <v>1727358724</v>
      </c>
      <c r="AA305" s="30"/>
      <c r="AB305" s="30"/>
      <c r="AC305" s="30"/>
      <c r="AD305" s="30"/>
    </row>
    <row r="306" spans="1:30" ht="13.5" customHeight="1" x14ac:dyDescent="0.15">
      <c r="A306" s="30"/>
      <c r="B306" s="30"/>
      <c r="C306" s="30" t="str">
        <f ca="1">IFERROR(__xludf.DUMMYFUNCTION("""COMPUTED_VALUE"""),"রংপুর")</f>
        <v>রংপুর</v>
      </c>
      <c r="D306" s="30" t="str">
        <f ca="1">IFERROR(__xludf.DUMMYFUNCTION("""COMPUTED_VALUE"""),"রংপুর")</f>
        <v>রংপুর</v>
      </c>
      <c r="E306" s="30" t="str">
        <f ca="1">IFERROR(__xludf.DUMMYFUNCTION("""COMPUTED_VALUE"""),"কুড়িগ্রাম")</f>
        <v>কুড়িগ্রাম</v>
      </c>
      <c r="F306" s="30" t="str">
        <f ca="1">IFERROR(__xludf.DUMMYFUNCTION("""COMPUTED_VALUE"""),"রৌমারী")</f>
        <v>রৌমারী</v>
      </c>
      <c r="G306" s="30" t="str">
        <f ca="1">IFERROR(__xludf.DUMMYFUNCTION("""COMPUTED_VALUE"""),"রৌমারী")</f>
        <v>রৌমারী</v>
      </c>
      <c r="H306" s="30" t="str">
        <f ca="1">IFERROR(__xludf.DUMMYFUNCTION("""COMPUTED_VALUE"""),"কান্দা পাড়া")</f>
        <v>কান্দা পাড়া</v>
      </c>
      <c r="I306" s="30"/>
      <c r="J306" s="30" t="str">
        <f ca="1">IFERROR(__xludf.DUMMYFUNCTION("""COMPUTED_VALUE"""),"প্রণোদনা")</f>
        <v>প্রণোদনা</v>
      </c>
      <c r="K306" s="30"/>
      <c r="L306" s="30">
        <f ca="1">IFERROR(__xludf.DUMMYFUNCTION("""COMPUTED_VALUE"""),25.548083)</f>
        <v>25.548082999999998</v>
      </c>
      <c r="M306" s="30">
        <f ca="1">IFERROR(__xludf.DUMMYFUNCTION("""COMPUTED_VALUE"""),89.806833)</f>
        <v>89.806832999999997</v>
      </c>
      <c r="N306" s="31"/>
      <c r="O306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6" s="30" t="str">
        <f ca="1">IFERROR(__xludf.DUMMYFUNCTION("""COMPUTED_VALUE"""),"ফলদ, বনজ")</f>
        <v>ফলদ, বনজ</v>
      </c>
      <c r="Q306" s="30">
        <f ca="1">IFERROR(__xludf.DUMMYFUNCTION("""COMPUTED_VALUE"""),5)</f>
        <v>5</v>
      </c>
      <c r="R306" s="30"/>
      <c r="S306" s="30"/>
      <c r="T306" s="30"/>
      <c r="U306" s="30" t="str">
        <f ca="1">IFERROR(__xludf.DUMMYFUNCTION("""COMPUTED_VALUE"""),"মোছাঃ সাজেদা খাতুন")</f>
        <v>মোছাঃ সাজেদা খাতুন</v>
      </c>
      <c r="V306" s="30">
        <f ca="1">IFERROR(__xludf.DUMMYFUNCTION("""COMPUTED_VALUE"""),1907930765)</f>
        <v>1907930765</v>
      </c>
      <c r="W306" s="30" t="str">
        <f ca="1">IFERROR(__xludf.DUMMYFUNCTION("""COMPUTED_VALUE"""),"মোঃ জিয়াউর রহমান")</f>
        <v>মোঃ জিয়াউর রহমান</v>
      </c>
      <c r="X306" s="30">
        <f ca="1">IFERROR(__xludf.DUMMYFUNCTION("""COMPUTED_VALUE"""),1912054284)</f>
        <v>1912054284</v>
      </c>
      <c r="Y306" s="30" t="str">
        <f ca="1">IFERROR(__xludf.DUMMYFUNCTION("""COMPUTED_VALUE"""),"মোঃ একরামুল হক")</f>
        <v>মোঃ একরামুল হক</v>
      </c>
      <c r="Z306" s="30">
        <f ca="1">IFERROR(__xludf.DUMMYFUNCTION("""COMPUTED_VALUE"""),1727358724)</f>
        <v>1727358724</v>
      </c>
      <c r="AA306" s="30"/>
      <c r="AB306" s="30"/>
      <c r="AC306" s="30"/>
      <c r="AD306" s="30"/>
    </row>
    <row r="307" spans="1:30" ht="13.5" customHeight="1" x14ac:dyDescent="0.15">
      <c r="A307" s="30"/>
      <c r="B307" s="30"/>
      <c r="C307" s="30" t="str">
        <f ca="1">IFERROR(__xludf.DUMMYFUNCTION("""COMPUTED_VALUE"""),"রংপুর")</f>
        <v>রংপুর</v>
      </c>
      <c r="D307" s="30" t="str">
        <f ca="1">IFERROR(__xludf.DUMMYFUNCTION("""COMPUTED_VALUE"""),"রংপুর")</f>
        <v>রংপুর</v>
      </c>
      <c r="E307" s="30" t="str">
        <f ca="1">IFERROR(__xludf.DUMMYFUNCTION("""COMPUTED_VALUE"""),"কুড়িগ্রাম")</f>
        <v>কুড়িগ্রাম</v>
      </c>
      <c r="F307" s="30" t="str">
        <f ca="1">IFERROR(__xludf.DUMMYFUNCTION("""COMPUTED_VALUE"""),"রৌমারী")</f>
        <v>রৌমারী</v>
      </c>
      <c r="G307" s="30" t="str">
        <f ca="1">IFERROR(__xludf.DUMMYFUNCTION("""COMPUTED_VALUE"""),"রৌমারী")</f>
        <v>রৌমারী</v>
      </c>
      <c r="H307" s="30" t="str">
        <f ca="1">IFERROR(__xludf.DUMMYFUNCTION("""COMPUTED_VALUE"""),"কান্দা পাড়া")</f>
        <v>কান্দা পাড়া</v>
      </c>
      <c r="I307" s="30"/>
      <c r="J307" s="30" t="str">
        <f ca="1">IFERROR(__xludf.DUMMYFUNCTION("""COMPUTED_VALUE"""),"প্রণোদনা")</f>
        <v>প্রণোদনা</v>
      </c>
      <c r="K307" s="30"/>
      <c r="L307" s="30">
        <f ca="1">IFERROR(__xludf.DUMMYFUNCTION("""COMPUTED_VALUE"""),25.547278)</f>
        <v>25.547277999999999</v>
      </c>
      <c r="M307" s="30">
        <f ca="1">IFERROR(__xludf.DUMMYFUNCTION("""COMPUTED_VALUE"""),89.806917)</f>
        <v>89.806916999999999</v>
      </c>
      <c r="N307" s="31"/>
      <c r="O30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7" s="30" t="str">
        <f ca="1">IFERROR(__xludf.DUMMYFUNCTION("""COMPUTED_VALUE"""),"ফলদ, বনজ")</f>
        <v>ফলদ, বনজ</v>
      </c>
      <c r="Q307" s="30">
        <f ca="1">IFERROR(__xludf.DUMMYFUNCTION("""COMPUTED_VALUE"""),5)</f>
        <v>5</v>
      </c>
      <c r="R307" s="30"/>
      <c r="S307" s="30"/>
      <c r="T307" s="30"/>
      <c r="U307" s="30" t="str">
        <f ca="1">IFERROR(__xludf.DUMMYFUNCTION("""COMPUTED_VALUE"""),"মোঃমোজাম্মেল")</f>
        <v>মোঃমোজাম্মেল</v>
      </c>
      <c r="V307" s="30">
        <f ca="1">IFERROR(__xludf.DUMMYFUNCTION("""COMPUTED_VALUE"""),1945676985)</f>
        <v>1945676985</v>
      </c>
      <c r="W307" s="30" t="str">
        <f ca="1">IFERROR(__xludf.DUMMYFUNCTION("""COMPUTED_VALUE"""),"মোঃ জিয়াউর রহমান")</f>
        <v>মোঃ জিয়াউর রহমান</v>
      </c>
      <c r="X307" s="30">
        <f ca="1">IFERROR(__xludf.DUMMYFUNCTION("""COMPUTED_VALUE"""),1912054284)</f>
        <v>1912054284</v>
      </c>
      <c r="Y307" s="30" t="str">
        <f ca="1">IFERROR(__xludf.DUMMYFUNCTION("""COMPUTED_VALUE"""),"মোঃ একরামুল হক")</f>
        <v>মোঃ একরামুল হক</v>
      </c>
      <c r="Z307" s="30">
        <f ca="1">IFERROR(__xludf.DUMMYFUNCTION("""COMPUTED_VALUE"""),1727358724)</f>
        <v>1727358724</v>
      </c>
      <c r="AA307" s="30"/>
      <c r="AB307" s="30"/>
      <c r="AC307" s="30"/>
      <c r="AD307" s="30"/>
    </row>
    <row r="308" spans="1:30" ht="13.5" customHeight="1" x14ac:dyDescent="0.15">
      <c r="A308" s="30"/>
      <c r="B308" s="30"/>
      <c r="C308" s="30" t="str">
        <f ca="1">IFERROR(__xludf.DUMMYFUNCTION("""COMPUTED_VALUE"""),"রংপুর")</f>
        <v>রংপুর</v>
      </c>
      <c r="D308" s="30" t="str">
        <f ca="1">IFERROR(__xludf.DUMMYFUNCTION("""COMPUTED_VALUE"""),"রংপুর")</f>
        <v>রংপুর</v>
      </c>
      <c r="E308" s="30" t="str">
        <f ca="1">IFERROR(__xludf.DUMMYFUNCTION("""COMPUTED_VALUE"""),"কুড়িগ্রাম")</f>
        <v>কুড়িগ্রাম</v>
      </c>
      <c r="F308" s="30" t="str">
        <f ca="1">IFERROR(__xludf.DUMMYFUNCTION("""COMPUTED_VALUE"""),"রৌমারী")</f>
        <v>রৌমারী</v>
      </c>
      <c r="G308" s="30" t="str">
        <f ca="1">IFERROR(__xludf.DUMMYFUNCTION("""COMPUTED_VALUE"""),"রৌমারী")</f>
        <v>রৌমারী</v>
      </c>
      <c r="H308" s="30" t="str">
        <f ca="1">IFERROR(__xludf.DUMMYFUNCTION("""COMPUTED_VALUE"""),"চাকতাবাড়ি")</f>
        <v>চাকতাবাড়ি</v>
      </c>
      <c r="I308" s="30"/>
      <c r="J308" s="30" t="str">
        <f ca="1">IFERROR(__xludf.DUMMYFUNCTION("""COMPUTED_VALUE"""),"প্রণোদনা")</f>
        <v>প্রণোদনা</v>
      </c>
      <c r="K308" s="30"/>
      <c r="L308" s="30">
        <f ca="1">IFERROR(__xludf.DUMMYFUNCTION("""COMPUTED_VALUE"""),25.543833)</f>
        <v>25.543832999999999</v>
      </c>
      <c r="M308" s="30">
        <f ca="1">IFERROR(__xludf.DUMMYFUNCTION("""COMPUTED_VALUE"""),89.8125)</f>
        <v>89.8125</v>
      </c>
      <c r="N308" s="31"/>
      <c r="O30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8" s="30" t="str">
        <f ca="1">IFERROR(__xludf.DUMMYFUNCTION("""COMPUTED_VALUE"""),"ফলদ, বনজ")</f>
        <v>ফলদ, বনজ</v>
      </c>
      <c r="Q308" s="30">
        <f ca="1">IFERROR(__xludf.DUMMYFUNCTION("""COMPUTED_VALUE"""),5)</f>
        <v>5</v>
      </c>
      <c r="R308" s="30"/>
      <c r="S308" s="30"/>
      <c r="T308" s="30"/>
      <c r="U308" s="30" t="str">
        <f ca="1">IFERROR(__xludf.DUMMYFUNCTION("""COMPUTED_VALUE"""),"মোঃ হাবিজুর রহমান")</f>
        <v>মোঃ হাবিজুর রহমান</v>
      </c>
      <c r="V308" s="30">
        <f ca="1">IFERROR(__xludf.DUMMYFUNCTION("""COMPUTED_VALUE"""),1944806605)</f>
        <v>1944806605</v>
      </c>
      <c r="W308" s="30" t="str">
        <f ca="1">IFERROR(__xludf.DUMMYFUNCTION("""COMPUTED_VALUE"""),"মোঃ জিয়াউর রহমান")</f>
        <v>মোঃ জিয়াউর রহমান</v>
      </c>
      <c r="X308" s="30">
        <f ca="1">IFERROR(__xludf.DUMMYFUNCTION("""COMPUTED_VALUE"""),1912054284)</f>
        <v>1912054284</v>
      </c>
      <c r="Y308" s="30" t="str">
        <f ca="1">IFERROR(__xludf.DUMMYFUNCTION("""COMPUTED_VALUE"""),"মোঃ একরামুল হক")</f>
        <v>মোঃ একরামুল হক</v>
      </c>
      <c r="Z308" s="30">
        <f ca="1">IFERROR(__xludf.DUMMYFUNCTION("""COMPUTED_VALUE"""),1727358724)</f>
        <v>1727358724</v>
      </c>
      <c r="AA308" s="30"/>
      <c r="AB308" s="30"/>
      <c r="AC308" s="30"/>
      <c r="AD308" s="30"/>
    </row>
    <row r="309" spans="1:30" ht="13.5" customHeight="1" x14ac:dyDescent="0.15">
      <c r="A309" s="30"/>
      <c r="B309" s="30"/>
      <c r="C309" s="30" t="str">
        <f ca="1">IFERROR(__xludf.DUMMYFUNCTION("""COMPUTED_VALUE"""),"রংপুর")</f>
        <v>রংপুর</v>
      </c>
      <c r="D309" s="30" t="str">
        <f ca="1">IFERROR(__xludf.DUMMYFUNCTION("""COMPUTED_VALUE"""),"রংপুর")</f>
        <v>রংপুর</v>
      </c>
      <c r="E309" s="30" t="str">
        <f ca="1">IFERROR(__xludf.DUMMYFUNCTION("""COMPUTED_VALUE"""),"কুড়িগ্রাম")</f>
        <v>কুড়িগ্রাম</v>
      </c>
      <c r="F309" s="30" t="str">
        <f ca="1">IFERROR(__xludf.DUMMYFUNCTION("""COMPUTED_VALUE"""),"রৌমারী")</f>
        <v>রৌমারী</v>
      </c>
      <c r="G309" s="30" t="str">
        <f ca="1">IFERROR(__xludf.DUMMYFUNCTION("""COMPUTED_VALUE"""),"রৌমারী")</f>
        <v>রৌমারী</v>
      </c>
      <c r="H309" s="30" t="str">
        <f ca="1">IFERROR(__xludf.DUMMYFUNCTION("""COMPUTED_VALUE"""),"ফুলবাড়ি")</f>
        <v>ফুলবাড়ি</v>
      </c>
      <c r="I309" s="30"/>
      <c r="J309" s="30" t="str">
        <f ca="1">IFERROR(__xludf.DUMMYFUNCTION("""COMPUTED_VALUE"""),"প্রণোদনা")</f>
        <v>প্রণোদনা</v>
      </c>
      <c r="K309" s="30"/>
      <c r="L309" s="30">
        <f ca="1">IFERROR(__xludf.DUMMYFUNCTION("""COMPUTED_VALUE"""),25.548528)</f>
        <v>25.548528000000001</v>
      </c>
      <c r="M309" s="30">
        <f ca="1">IFERROR(__xludf.DUMMYFUNCTION("""COMPUTED_VALUE"""),89.836611)</f>
        <v>89.836611000000005</v>
      </c>
      <c r="N309" s="31"/>
      <c r="O30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9" s="30" t="str">
        <f ca="1">IFERROR(__xludf.DUMMYFUNCTION("""COMPUTED_VALUE"""),"ফলদ, বনজ")</f>
        <v>ফলদ, বনজ</v>
      </c>
      <c r="Q309" s="30">
        <f ca="1">IFERROR(__xludf.DUMMYFUNCTION("""COMPUTED_VALUE"""),5)</f>
        <v>5</v>
      </c>
      <c r="R309" s="30"/>
      <c r="S309" s="30"/>
      <c r="T309" s="30"/>
      <c r="U309" s="30" t="str">
        <f ca="1">IFERROR(__xludf.DUMMYFUNCTION("""COMPUTED_VALUE"""),"মোঃ আবু সায়েম হাবিব")</f>
        <v>মোঃ আবু সায়েম হাবিব</v>
      </c>
      <c r="V309" s="30">
        <f ca="1">IFERROR(__xludf.DUMMYFUNCTION("""COMPUTED_VALUE"""),1974475145)</f>
        <v>1974475145</v>
      </c>
      <c r="W309" s="30" t="str">
        <f ca="1">IFERROR(__xludf.DUMMYFUNCTION("""COMPUTED_VALUE"""),"মোঃ জিয়াউর রহমান")</f>
        <v>মোঃ জিয়াউর রহমান</v>
      </c>
      <c r="X309" s="30">
        <f ca="1">IFERROR(__xludf.DUMMYFUNCTION("""COMPUTED_VALUE"""),1912054284)</f>
        <v>1912054284</v>
      </c>
      <c r="Y309" s="30" t="str">
        <f ca="1">IFERROR(__xludf.DUMMYFUNCTION("""COMPUTED_VALUE"""),"মোঃ একরামুল হক")</f>
        <v>মোঃ একরামুল হক</v>
      </c>
      <c r="Z309" s="30">
        <f ca="1">IFERROR(__xludf.DUMMYFUNCTION("""COMPUTED_VALUE"""),1727358724)</f>
        <v>1727358724</v>
      </c>
      <c r="AA309" s="30"/>
      <c r="AB309" s="30"/>
      <c r="AC309" s="30"/>
      <c r="AD309" s="30"/>
    </row>
    <row r="310" spans="1:30" ht="13.5" customHeight="1" x14ac:dyDescent="0.15">
      <c r="A310" s="30"/>
      <c r="B310" s="30"/>
      <c r="C310" s="30" t="str">
        <f ca="1">IFERROR(__xludf.DUMMYFUNCTION("""COMPUTED_VALUE"""),"রংপুর")</f>
        <v>রংপুর</v>
      </c>
      <c r="D310" s="30" t="str">
        <f ca="1">IFERROR(__xludf.DUMMYFUNCTION("""COMPUTED_VALUE"""),"রংপুর")</f>
        <v>রংপুর</v>
      </c>
      <c r="E310" s="30" t="str">
        <f ca="1">IFERROR(__xludf.DUMMYFUNCTION("""COMPUTED_VALUE"""),"কুড়িগ্রাম")</f>
        <v>কুড়িগ্রাম</v>
      </c>
      <c r="F310" s="30" t="str">
        <f ca="1">IFERROR(__xludf.DUMMYFUNCTION("""COMPUTED_VALUE"""),"রৌমারী")</f>
        <v>রৌমারী</v>
      </c>
      <c r="G310" s="30" t="str">
        <f ca="1">IFERROR(__xludf.DUMMYFUNCTION("""COMPUTED_VALUE"""),"রৌমারী")</f>
        <v>রৌমারী</v>
      </c>
      <c r="H310" s="30" t="str">
        <f ca="1">IFERROR(__xludf.DUMMYFUNCTION("""COMPUTED_VALUE"""),"চাকতাবাড়ি")</f>
        <v>চাকতাবাড়ি</v>
      </c>
      <c r="I310" s="30"/>
      <c r="J310" s="30" t="str">
        <f ca="1">IFERROR(__xludf.DUMMYFUNCTION("""COMPUTED_VALUE"""),"প্রণোদনা")</f>
        <v>প্রণোদনা</v>
      </c>
      <c r="K310" s="30"/>
      <c r="L310" s="30">
        <f ca="1">IFERROR(__xludf.DUMMYFUNCTION("""COMPUTED_VALUE"""),25.551222)</f>
        <v>25.551221999999999</v>
      </c>
      <c r="M310" s="30">
        <f ca="1">IFERROR(__xludf.DUMMYFUNCTION("""COMPUTED_VALUE"""),89.812056)</f>
        <v>89.812055999999998</v>
      </c>
      <c r="N310" s="31"/>
      <c r="O310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0" s="30" t="str">
        <f ca="1">IFERROR(__xludf.DUMMYFUNCTION("""COMPUTED_VALUE"""),"ফলদ, বনজ")</f>
        <v>ফলদ, বনজ</v>
      </c>
      <c r="Q310" s="30">
        <f ca="1">IFERROR(__xludf.DUMMYFUNCTION("""COMPUTED_VALUE"""),5)</f>
        <v>5</v>
      </c>
      <c r="R310" s="30"/>
      <c r="S310" s="30"/>
      <c r="T310" s="30"/>
      <c r="U310" s="30" t="str">
        <f ca="1">IFERROR(__xludf.DUMMYFUNCTION("""COMPUTED_VALUE"""),"মোঃ মাহমুদুল হাসান")</f>
        <v>মোঃ মাহমুদুল হাসান</v>
      </c>
      <c r="V310" s="30">
        <f ca="1">IFERROR(__xludf.DUMMYFUNCTION("""COMPUTED_VALUE"""),1611235079)</f>
        <v>1611235079</v>
      </c>
      <c r="W310" s="30" t="str">
        <f ca="1">IFERROR(__xludf.DUMMYFUNCTION("""COMPUTED_VALUE"""),"মোঃ জিয়াউর রহমান")</f>
        <v>মোঃ জিয়াউর রহমান</v>
      </c>
      <c r="X310" s="30">
        <f ca="1">IFERROR(__xludf.DUMMYFUNCTION("""COMPUTED_VALUE"""),1912054284)</f>
        <v>1912054284</v>
      </c>
      <c r="Y310" s="30" t="str">
        <f ca="1">IFERROR(__xludf.DUMMYFUNCTION("""COMPUTED_VALUE"""),"মোঃ একরামুল হক")</f>
        <v>মোঃ একরামুল হক</v>
      </c>
      <c r="Z310" s="30">
        <f ca="1">IFERROR(__xludf.DUMMYFUNCTION("""COMPUTED_VALUE"""),1727358724)</f>
        <v>1727358724</v>
      </c>
      <c r="AA310" s="30"/>
      <c r="AB310" s="30"/>
      <c r="AC310" s="30"/>
      <c r="AD310" s="30"/>
    </row>
    <row r="311" spans="1:30" ht="13.5" customHeight="1" x14ac:dyDescent="0.15">
      <c r="A311" s="30"/>
      <c r="B311" s="30"/>
      <c r="C311" s="30" t="str">
        <f ca="1">IFERROR(__xludf.DUMMYFUNCTION("""COMPUTED_VALUE"""),"রংপুর")</f>
        <v>রংপুর</v>
      </c>
      <c r="D311" s="30" t="str">
        <f ca="1">IFERROR(__xludf.DUMMYFUNCTION("""COMPUTED_VALUE"""),"রংপুর")</f>
        <v>রংপুর</v>
      </c>
      <c r="E311" s="30" t="str">
        <f ca="1">IFERROR(__xludf.DUMMYFUNCTION("""COMPUTED_VALUE"""),"কুড়িগ্রাম")</f>
        <v>কুড়িগ্রাম</v>
      </c>
      <c r="F311" s="30" t="str">
        <f ca="1">IFERROR(__xludf.DUMMYFUNCTION("""COMPUTED_VALUE"""),"রৌমারী")</f>
        <v>রৌমারী</v>
      </c>
      <c r="G311" s="30" t="str">
        <f ca="1">IFERROR(__xludf.DUMMYFUNCTION("""COMPUTED_VALUE"""),"রৌমারী")</f>
        <v>রৌমারী</v>
      </c>
      <c r="H311" s="30" t="str">
        <f ca="1">IFERROR(__xludf.DUMMYFUNCTION("""COMPUTED_VALUE"""),"চাকতাবাড়ি")</f>
        <v>চাকতাবাড়ি</v>
      </c>
      <c r="I311" s="30"/>
      <c r="J311" s="30" t="str">
        <f ca="1">IFERROR(__xludf.DUMMYFUNCTION("""COMPUTED_VALUE"""),"প্রণোদনা")</f>
        <v>প্রণোদনা</v>
      </c>
      <c r="K311" s="30"/>
      <c r="L311" s="30">
        <f ca="1">IFERROR(__xludf.DUMMYFUNCTION("""COMPUTED_VALUE"""),25.551083)</f>
        <v>25.551082999999998</v>
      </c>
      <c r="M311" s="30">
        <f ca="1">IFERROR(__xludf.DUMMYFUNCTION("""COMPUTED_VALUE"""),89.81225)</f>
        <v>89.812250000000006</v>
      </c>
      <c r="N311" s="31"/>
      <c r="O311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1" s="30" t="str">
        <f ca="1">IFERROR(__xludf.DUMMYFUNCTION("""COMPUTED_VALUE"""),"ফলদ, বনজ")</f>
        <v>ফলদ, বনজ</v>
      </c>
      <c r="Q311" s="30">
        <f ca="1">IFERROR(__xludf.DUMMYFUNCTION("""COMPUTED_VALUE"""),5)</f>
        <v>5</v>
      </c>
      <c r="R311" s="30"/>
      <c r="S311" s="30"/>
      <c r="T311" s="30"/>
      <c r="U311" s="30" t="str">
        <f ca="1">IFERROR(__xludf.DUMMYFUNCTION("""COMPUTED_VALUE"""),"মোছাঃ রিনা খাতুন")</f>
        <v>মোছাঃ রিনা খাতুন</v>
      </c>
      <c r="V311" s="30">
        <f ca="1">IFERROR(__xludf.DUMMYFUNCTION("""COMPUTED_VALUE"""),1952771205)</f>
        <v>1952771205</v>
      </c>
      <c r="W311" s="30" t="str">
        <f ca="1">IFERROR(__xludf.DUMMYFUNCTION("""COMPUTED_VALUE"""),"মোঃ জিয়াউর রহমান")</f>
        <v>মোঃ জিয়াউর রহমান</v>
      </c>
      <c r="X311" s="30">
        <f ca="1">IFERROR(__xludf.DUMMYFUNCTION("""COMPUTED_VALUE"""),1912054284)</f>
        <v>1912054284</v>
      </c>
      <c r="Y311" s="30" t="str">
        <f ca="1">IFERROR(__xludf.DUMMYFUNCTION("""COMPUTED_VALUE"""),"মোঃ একরামুল হক")</f>
        <v>মোঃ একরামুল হক</v>
      </c>
      <c r="Z311" s="30">
        <f ca="1">IFERROR(__xludf.DUMMYFUNCTION("""COMPUTED_VALUE"""),1727358724)</f>
        <v>1727358724</v>
      </c>
      <c r="AA311" s="30"/>
      <c r="AB311" s="30"/>
      <c r="AC311" s="30"/>
      <c r="AD311" s="30"/>
    </row>
    <row r="312" spans="1:30" ht="13.5" customHeight="1" x14ac:dyDescent="0.15">
      <c r="A312" s="30"/>
      <c r="B312" s="30"/>
      <c r="C312" s="30" t="str">
        <f ca="1">IFERROR(__xludf.DUMMYFUNCTION("""COMPUTED_VALUE"""),"রংপুর")</f>
        <v>রংপুর</v>
      </c>
      <c r="D312" s="30" t="str">
        <f ca="1">IFERROR(__xludf.DUMMYFUNCTION("""COMPUTED_VALUE"""),"রংপুর")</f>
        <v>রংপুর</v>
      </c>
      <c r="E312" s="30" t="str">
        <f ca="1">IFERROR(__xludf.DUMMYFUNCTION("""COMPUTED_VALUE"""),"কুড়িগ্রাম")</f>
        <v>কুড়িগ্রাম</v>
      </c>
      <c r="F312" s="30" t="str">
        <f ca="1">IFERROR(__xludf.DUMMYFUNCTION("""COMPUTED_VALUE"""),"রৌমারী")</f>
        <v>রৌমারী</v>
      </c>
      <c r="G312" s="30" t="str">
        <f ca="1">IFERROR(__xludf.DUMMYFUNCTION("""COMPUTED_VALUE"""),"রৌমারী")</f>
        <v>রৌমারী</v>
      </c>
      <c r="H312" s="30" t="str">
        <f ca="1">IFERROR(__xludf.DUMMYFUNCTION("""COMPUTED_VALUE"""),"চাকতাবাড়ি")</f>
        <v>চাকতাবাড়ি</v>
      </c>
      <c r="I312" s="30"/>
      <c r="J312" s="30" t="str">
        <f ca="1">IFERROR(__xludf.DUMMYFUNCTION("""COMPUTED_VALUE"""),"প্রণোদনা")</f>
        <v>প্রণোদনা</v>
      </c>
      <c r="K312" s="30"/>
      <c r="L312" s="30">
        <f ca="1">IFERROR(__xludf.DUMMYFUNCTION("""COMPUTED_VALUE"""),25.549528)</f>
        <v>25.549527999999999</v>
      </c>
      <c r="M312" s="30">
        <f ca="1">IFERROR(__xludf.DUMMYFUNCTION("""COMPUTED_VALUE"""),89.814944)</f>
        <v>89.814943999999997</v>
      </c>
      <c r="N312" s="31"/>
      <c r="O312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2" s="30" t="str">
        <f ca="1">IFERROR(__xludf.DUMMYFUNCTION("""COMPUTED_VALUE"""),"ফলদ, বনজ")</f>
        <v>ফলদ, বনজ</v>
      </c>
      <c r="Q312" s="30">
        <f ca="1">IFERROR(__xludf.DUMMYFUNCTION("""COMPUTED_VALUE"""),5)</f>
        <v>5</v>
      </c>
      <c r="R312" s="30"/>
      <c r="S312" s="30"/>
      <c r="T312" s="30"/>
      <c r="U312" s="30" t="str">
        <f ca="1">IFERROR(__xludf.DUMMYFUNCTION("""COMPUTED_VALUE"""),"মোছাঃ শরিফা খাতুন")</f>
        <v>মোছাঃ শরিফা খাতুন</v>
      </c>
      <c r="V312" s="30">
        <f ca="1">IFERROR(__xludf.DUMMYFUNCTION("""COMPUTED_VALUE"""),1909008350)</f>
        <v>1909008350</v>
      </c>
      <c r="W312" s="30" t="str">
        <f ca="1">IFERROR(__xludf.DUMMYFUNCTION("""COMPUTED_VALUE"""),"মোঃ জিয়াউর রহমান")</f>
        <v>মোঃ জিয়াউর রহমান</v>
      </c>
      <c r="X312" s="30">
        <f ca="1">IFERROR(__xludf.DUMMYFUNCTION("""COMPUTED_VALUE"""),1912054284)</f>
        <v>1912054284</v>
      </c>
      <c r="Y312" s="30" t="str">
        <f ca="1">IFERROR(__xludf.DUMMYFUNCTION("""COMPUTED_VALUE"""),"মোঃ একরামুল হক")</f>
        <v>মোঃ একরামুল হক</v>
      </c>
      <c r="Z312" s="30">
        <f ca="1">IFERROR(__xludf.DUMMYFUNCTION("""COMPUTED_VALUE"""),1727358724)</f>
        <v>1727358724</v>
      </c>
      <c r="AA312" s="30"/>
      <c r="AB312" s="30"/>
      <c r="AC312" s="30"/>
      <c r="AD312" s="30"/>
    </row>
    <row r="313" spans="1:30" ht="13.5" customHeight="1" x14ac:dyDescent="0.15">
      <c r="A313" s="30"/>
      <c r="B313" s="30"/>
      <c r="C313" s="30" t="str">
        <f ca="1">IFERROR(__xludf.DUMMYFUNCTION("""COMPUTED_VALUE"""),"রংপুর")</f>
        <v>রংপুর</v>
      </c>
      <c r="D313" s="30" t="str">
        <f ca="1">IFERROR(__xludf.DUMMYFUNCTION("""COMPUTED_VALUE"""),"রংপুর")</f>
        <v>রংপুর</v>
      </c>
      <c r="E313" s="30" t="str">
        <f ca="1">IFERROR(__xludf.DUMMYFUNCTION("""COMPUTED_VALUE"""),"কুড়িগ্রাম")</f>
        <v>কুড়িগ্রাম</v>
      </c>
      <c r="F313" s="30" t="str">
        <f ca="1">IFERROR(__xludf.DUMMYFUNCTION("""COMPUTED_VALUE"""),"রৌমারী")</f>
        <v>রৌমারী</v>
      </c>
      <c r="G313" s="30" t="str">
        <f ca="1">IFERROR(__xludf.DUMMYFUNCTION("""COMPUTED_VALUE"""),"রৌমারী")</f>
        <v>রৌমারী</v>
      </c>
      <c r="H313" s="30" t="str">
        <f ca="1">IFERROR(__xludf.DUMMYFUNCTION("""COMPUTED_VALUE"""),"চাকতাবাড়ি")</f>
        <v>চাকতাবাড়ি</v>
      </c>
      <c r="I313" s="30"/>
      <c r="J313" s="30" t="str">
        <f ca="1">IFERROR(__xludf.DUMMYFUNCTION("""COMPUTED_VALUE"""),"প্রণোদনা")</f>
        <v>প্রণোদনা</v>
      </c>
      <c r="K313" s="30"/>
      <c r="L313" s="30">
        <f ca="1">IFERROR(__xludf.DUMMYFUNCTION("""COMPUTED_VALUE"""),25.549472)</f>
        <v>25.549472000000002</v>
      </c>
      <c r="M313" s="30">
        <f ca="1">IFERROR(__xludf.DUMMYFUNCTION("""COMPUTED_VALUE"""),89.81525)</f>
        <v>89.815250000000006</v>
      </c>
      <c r="N313" s="31"/>
      <c r="O31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3" s="30" t="str">
        <f ca="1">IFERROR(__xludf.DUMMYFUNCTION("""COMPUTED_VALUE"""),"ফলদ, বনজ")</f>
        <v>ফলদ, বনজ</v>
      </c>
      <c r="Q313" s="30">
        <f ca="1">IFERROR(__xludf.DUMMYFUNCTION("""COMPUTED_VALUE"""),5)</f>
        <v>5</v>
      </c>
      <c r="R313" s="30"/>
      <c r="S313" s="30"/>
      <c r="T313" s="30"/>
      <c r="U313" s="30" t="str">
        <f ca="1">IFERROR(__xludf.DUMMYFUNCTION("""COMPUTED_VALUE"""),"মোছাঃ রিনা  খাতুন")</f>
        <v>মোছাঃ রিনা  খাতুন</v>
      </c>
      <c r="V313" s="30">
        <f ca="1">IFERROR(__xludf.DUMMYFUNCTION("""COMPUTED_VALUE"""),1995343781)</f>
        <v>1995343781</v>
      </c>
      <c r="W313" s="30" t="str">
        <f ca="1">IFERROR(__xludf.DUMMYFUNCTION("""COMPUTED_VALUE"""),"মোঃ জিয়াউর রহমান")</f>
        <v>মোঃ জিয়াউর রহমান</v>
      </c>
      <c r="X313" s="30">
        <f ca="1">IFERROR(__xludf.DUMMYFUNCTION("""COMPUTED_VALUE"""),1912054284)</f>
        <v>1912054284</v>
      </c>
      <c r="Y313" s="30" t="str">
        <f ca="1">IFERROR(__xludf.DUMMYFUNCTION("""COMPUTED_VALUE"""),"মোঃ একরামুল হক")</f>
        <v>মোঃ একরামুল হক</v>
      </c>
      <c r="Z313" s="30">
        <f ca="1">IFERROR(__xludf.DUMMYFUNCTION("""COMPUTED_VALUE"""),1727358724)</f>
        <v>1727358724</v>
      </c>
      <c r="AA313" s="30"/>
      <c r="AB313" s="30"/>
      <c r="AC313" s="30"/>
      <c r="AD313" s="30"/>
    </row>
    <row r="314" spans="1:30" ht="13.5" customHeight="1" x14ac:dyDescent="0.15">
      <c r="A314" s="30"/>
      <c r="B314" s="30"/>
      <c r="C314" s="30" t="str">
        <f ca="1">IFERROR(__xludf.DUMMYFUNCTION("""COMPUTED_VALUE"""),"রংপুর")</f>
        <v>রংপুর</v>
      </c>
      <c r="D314" s="30" t="str">
        <f ca="1">IFERROR(__xludf.DUMMYFUNCTION("""COMPUTED_VALUE"""),"রংপুর")</f>
        <v>রংপুর</v>
      </c>
      <c r="E314" s="30" t="str">
        <f ca="1">IFERROR(__xludf.DUMMYFUNCTION("""COMPUTED_VALUE"""),"কুড়িগ্রাম")</f>
        <v>কুড়িগ্রাম</v>
      </c>
      <c r="F314" s="30" t="str">
        <f ca="1">IFERROR(__xludf.DUMMYFUNCTION("""COMPUTED_VALUE"""),"রৌমারী")</f>
        <v>রৌমারী</v>
      </c>
      <c r="G314" s="30" t="str">
        <f ca="1">IFERROR(__xludf.DUMMYFUNCTION("""COMPUTED_VALUE"""),"রৌমারী")</f>
        <v>রৌমারী</v>
      </c>
      <c r="H314" s="30" t="str">
        <f ca="1">IFERROR(__xludf.DUMMYFUNCTION("""COMPUTED_VALUE"""),"চাকতাবাড়ি")</f>
        <v>চাকতাবাড়ি</v>
      </c>
      <c r="I314" s="30"/>
      <c r="J314" s="30" t="str">
        <f ca="1">IFERROR(__xludf.DUMMYFUNCTION("""COMPUTED_VALUE"""),"প্রণোদনা")</f>
        <v>প্রণোদনা</v>
      </c>
      <c r="K314" s="30"/>
      <c r="L314" s="30">
        <f ca="1">IFERROR(__xludf.DUMMYFUNCTION("""COMPUTED_VALUE"""),25.549389)</f>
        <v>25.549389000000001</v>
      </c>
      <c r="M314" s="30">
        <f ca="1">IFERROR(__xludf.DUMMYFUNCTION("""COMPUTED_VALUE"""),89.815278)</f>
        <v>89.815278000000006</v>
      </c>
      <c r="N314" s="31"/>
      <c r="O31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4" s="30" t="str">
        <f ca="1">IFERROR(__xludf.DUMMYFUNCTION("""COMPUTED_VALUE"""),"ফলদ, বনজ")</f>
        <v>ফলদ, বনজ</v>
      </c>
      <c r="Q314" s="30">
        <f ca="1">IFERROR(__xludf.DUMMYFUNCTION("""COMPUTED_VALUE"""),5)</f>
        <v>5</v>
      </c>
      <c r="R314" s="30"/>
      <c r="S314" s="30"/>
      <c r="T314" s="30"/>
      <c r="U314" s="30" t="str">
        <f ca="1">IFERROR(__xludf.DUMMYFUNCTION("""COMPUTED_VALUE"""),"মোঃ আশরাফুল")</f>
        <v>মোঃ আশরাফুল</v>
      </c>
      <c r="V314" s="30">
        <f ca="1">IFERROR(__xludf.DUMMYFUNCTION("""COMPUTED_VALUE"""),1946690982)</f>
        <v>1946690982</v>
      </c>
      <c r="W314" s="30" t="str">
        <f ca="1">IFERROR(__xludf.DUMMYFUNCTION("""COMPUTED_VALUE"""),"মোঃ জিয়াউর রহমান")</f>
        <v>মোঃ জিয়াউর রহমান</v>
      </c>
      <c r="X314" s="30">
        <f ca="1">IFERROR(__xludf.DUMMYFUNCTION("""COMPUTED_VALUE"""),1912054284)</f>
        <v>1912054284</v>
      </c>
      <c r="Y314" s="30" t="str">
        <f ca="1">IFERROR(__xludf.DUMMYFUNCTION("""COMPUTED_VALUE"""),"মোঃ একরামুল হক")</f>
        <v>মোঃ একরামুল হক</v>
      </c>
      <c r="Z314" s="30">
        <f ca="1">IFERROR(__xludf.DUMMYFUNCTION("""COMPUTED_VALUE"""),1727358724)</f>
        <v>1727358724</v>
      </c>
      <c r="AA314" s="30"/>
      <c r="AB314" s="30"/>
      <c r="AC314" s="30"/>
      <c r="AD314" s="30"/>
    </row>
    <row r="315" spans="1:30" ht="13.5" customHeight="1" x14ac:dyDescent="0.15">
      <c r="A315" s="30"/>
      <c r="B315" s="30"/>
      <c r="C315" s="30" t="str">
        <f ca="1">IFERROR(__xludf.DUMMYFUNCTION("""COMPUTED_VALUE"""),"রংপুর")</f>
        <v>রংপুর</v>
      </c>
      <c r="D315" s="30" t="str">
        <f ca="1">IFERROR(__xludf.DUMMYFUNCTION("""COMPUTED_VALUE"""),"রংপুর")</f>
        <v>রংপুর</v>
      </c>
      <c r="E315" s="30" t="str">
        <f ca="1">IFERROR(__xludf.DUMMYFUNCTION("""COMPUTED_VALUE"""),"কুড়িগ্রাম")</f>
        <v>কুড়িগ্রাম</v>
      </c>
      <c r="F315" s="30" t="str">
        <f ca="1">IFERROR(__xludf.DUMMYFUNCTION("""COMPUTED_VALUE"""),"রৌমারী")</f>
        <v>রৌমারী</v>
      </c>
      <c r="G315" s="30" t="str">
        <f ca="1">IFERROR(__xludf.DUMMYFUNCTION("""COMPUTED_VALUE"""),"রৌমারী")</f>
        <v>রৌমারী</v>
      </c>
      <c r="H315" s="30" t="str">
        <f ca="1">IFERROR(__xludf.DUMMYFUNCTION("""COMPUTED_VALUE"""),"বাঘমারা")</f>
        <v>বাঘমারা</v>
      </c>
      <c r="I315" s="30"/>
      <c r="J315" s="30" t="str">
        <f ca="1">IFERROR(__xludf.DUMMYFUNCTION("""COMPUTED_VALUE"""),"প্রণোদনা")</f>
        <v>প্রণোদনা</v>
      </c>
      <c r="K315" s="30"/>
      <c r="L315" s="30">
        <f ca="1">IFERROR(__xludf.DUMMYFUNCTION("""COMPUTED_VALUE"""),25.551972)</f>
        <v>25.551971999999999</v>
      </c>
      <c r="M315" s="30">
        <f ca="1">IFERROR(__xludf.DUMMYFUNCTION("""COMPUTED_VALUE"""),89.81275)</f>
        <v>89.812749999999994</v>
      </c>
      <c r="N315" s="31"/>
      <c r="O315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5" s="30" t="str">
        <f ca="1">IFERROR(__xludf.DUMMYFUNCTION("""COMPUTED_VALUE"""),"ফলদ, বনজ")</f>
        <v>ফলদ, বনজ</v>
      </c>
      <c r="Q315" s="30">
        <f ca="1">IFERROR(__xludf.DUMMYFUNCTION("""COMPUTED_VALUE"""),5)</f>
        <v>5</v>
      </c>
      <c r="R315" s="30"/>
      <c r="S315" s="30"/>
      <c r="T315" s="30"/>
      <c r="U315" s="30" t="str">
        <f ca="1">IFERROR(__xludf.DUMMYFUNCTION("""COMPUTED_VALUE"""),"মোছাঃ নাজমা  খাতুন")</f>
        <v>মোছাঃ নাজমা  খাতুন</v>
      </c>
      <c r="V315" s="30">
        <f ca="1">IFERROR(__xludf.DUMMYFUNCTION("""COMPUTED_VALUE"""),1931702332)</f>
        <v>1931702332</v>
      </c>
      <c r="W315" s="30" t="str">
        <f ca="1">IFERROR(__xludf.DUMMYFUNCTION("""COMPUTED_VALUE"""),"মোঃ জিয়াউর রহমান")</f>
        <v>মোঃ জিয়াউর রহমান</v>
      </c>
      <c r="X315" s="30">
        <f ca="1">IFERROR(__xludf.DUMMYFUNCTION("""COMPUTED_VALUE"""),1912054284)</f>
        <v>1912054284</v>
      </c>
      <c r="Y315" s="30" t="str">
        <f ca="1">IFERROR(__xludf.DUMMYFUNCTION("""COMPUTED_VALUE"""),"মোঃ একরামুল হক")</f>
        <v>মোঃ একরামুল হক</v>
      </c>
      <c r="Z315" s="30">
        <f ca="1">IFERROR(__xludf.DUMMYFUNCTION("""COMPUTED_VALUE"""),1727358724)</f>
        <v>1727358724</v>
      </c>
      <c r="AA315" s="30"/>
      <c r="AB315" s="30"/>
      <c r="AC315" s="30"/>
      <c r="AD315" s="30"/>
    </row>
    <row r="316" spans="1:30" ht="13.5" customHeight="1" x14ac:dyDescent="0.15">
      <c r="A316" s="30"/>
      <c r="B316" s="30"/>
      <c r="C316" s="30" t="str">
        <f ca="1">IFERROR(__xludf.DUMMYFUNCTION("""COMPUTED_VALUE"""),"রংপুর")</f>
        <v>রংপুর</v>
      </c>
      <c r="D316" s="30" t="str">
        <f ca="1">IFERROR(__xludf.DUMMYFUNCTION("""COMPUTED_VALUE"""),"রংপুর")</f>
        <v>রংপুর</v>
      </c>
      <c r="E316" s="30" t="str">
        <f ca="1">IFERROR(__xludf.DUMMYFUNCTION("""COMPUTED_VALUE"""),"কুড়িগ্রাম")</f>
        <v>কুড়িগ্রাম</v>
      </c>
      <c r="F316" s="30" t="str">
        <f ca="1">IFERROR(__xludf.DUMMYFUNCTION("""COMPUTED_VALUE"""),"রৌমারী")</f>
        <v>রৌমারী</v>
      </c>
      <c r="G316" s="30" t="str">
        <f ca="1">IFERROR(__xludf.DUMMYFUNCTION("""COMPUTED_VALUE"""),"রৌমারী")</f>
        <v>রৌমারী</v>
      </c>
      <c r="H316" s="30" t="str">
        <f ca="1">IFERROR(__xludf.DUMMYFUNCTION("""COMPUTED_VALUE"""),"বাঘমারা")</f>
        <v>বাঘমারা</v>
      </c>
      <c r="I316" s="30"/>
      <c r="J316" s="30" t="str">
        <f ca="1">IFERROR(__xludf.DUMMYFUNCTION("""COMPUTED_VALUE"""),"প্রণোদনা")</f>
        <v>প্রণোদনা</v>
      </c>
      <c r="K316" s="30"/>
      <c r="L316" s="30">
        <f ca="1">IFERROR(__xludf.DUMMYFUNCTION("""COMPUTED_VALUE"""),25.55175)</f>
        <v>25.551749999999998</v>
      </c>
      <c r="M316" s="30">
        <f ca="1">IFERROR(__xludf.DUMMYFUNCTION("""COMPUTED_VALUE"""),89.812722)</f>
        <v>89.812721999999994</v>
      </c>
      <c r="N316" s="31"/>
      <c r="O316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6" s="30" t="str">
        <f ca="1">IFERROR(__xludf.DUMMYFUNCTION("""COMPUTED_VALUE"""),"ফলদ, বনজ")</f>
        <v>ফলদ, বনজ</v>
      </c>
      <c r="Q316" s="30">
        <f ca="1">IFERROR(__xludf.DUMMYFUNCTION("""COMPUTED_VALUE"""),5)</f>
        <v>5</v>
      </c>
      <c r="R316" s="30"/>
      <c r="S316" s="30"/>
      <c r="T316" s="30"/>
      <c r="U316" s="30" t="str">
        <f ca="1">IFERROR(__xludf.DUMMYFUNCTION("""COMPUTED_VALUE"""),"মোছাঃ খুরশিদা খাতুন")</f>
        <v>মোছাঃ খুরশিদা খাতুন</v>
      </c>
      <c r="V316" s="30">
        <f ca="1">IFERROR(__xludf.DUMMYFUNCTION("""COMPUTED_VALUE"""),1918255431)</f>
        <v>1918255431</v>
      </c>
      <c r="W316" s="30" t="str">
        <f ca="1">IFERROR(__xludf.DUMMYFUNCTION("""COMPUTED_VALUE"""),"মোঃ জিয়াউর রহমান")</f>
        <v>মোঃ জিয়াউর রহমান</v>
      </c>
      <c r="X316" s="30">
        <f ca="1">IFERROR(__xludf.DUMMYFUNCTION("""COMPUTED_VALUE"""),1912054284)</f>
        <v>1912054284</v>
      </c>
      <c r="Y316" s="30" t="str">
        <f ca="1">IFERROR(__xludf.DUMMYFUNCTION("""COMPUTED_VALUE"""),"মোঃ একরামুল হক")</f>
        <v>মোঃ একরামুল হক</v>
      </c>
      <c r="Z316" s="30">
        <f ca="1">IFERROR(__xludf.DUMMYFUNCTION("""COMPUTED_VALUE"""),1727358724)</f>
        <v>1727358724</v>
      </c>
      <c r="AA316" s="30"/>
      <c r="AB316" s="30"/>
      <c r="AC316" s="30"/>
      <c r="AD316" s="30"/>
    </row>
    <row r="317" spans="1:30" ht="13.5" customHeight="1" x14ac:dyDescent="0.15">
      <c r="A317" s="30"/>
      <c r="B317" s="30"/>
      <c r="C317" s="30" t="str">
        <f ca="1">IFERROR(__xludf.DUMMYFUNCTION("""COMPUTED_VALUE"""),"রংপুর")</f>
        <v>রংপুর</v>
      </c>
      <c r="D317" s="30" t="str">
        <f ca="1">IFERROR(__xludf.DUMMYFUNCTION("""COMPUTED_VALUE"""),"রংপুর")</f>
        <v>রংপুর</v>
      </c>
      <c r="E317" s="30" t="str">
        <f ca="1">IFERROR(__xludf.DUMMYFUNCTION("""COMPUTED_VALUE"""),"কুড়িগ্রাম")</f>
        <v>কুড়িগ্রাম</v>
      </c>
      <c r="F317" s="30" t="str">
        <f ca="1">IFERROR(__xludf.DUMMYFUNCTION("""COMPUTED_VALUE"""),"রৌমারী")</f>
        <v>রৌমারী</v>
      </c>
      <c r="G317" s="30" t="str">
        <f ca="1">IFERROR(__xludf.DUMMYFUNCTION("""COMPUTED_VALUE"""),"রৌমারী")</f>
        <v>রৌমারী</v>
      </c>
      <c r="H317" s="30" t="str">
        <f ca="1">IFERROR(__xludf.DUMMYFUNCTION("""COMPUTED_VALUE"""),"বাঘমারা")</f>
        <v>বাঘমারা</v>
      </c>
      <c r="I317" s="30"/>
      <c r="J317" s="30" t="str">
        <f ca="1">IFERROR(__xludf.DUMMYFUNCTION("""COMPUTED_VALUE"""),"প্রণোদনা")</f>
        <v>প্রণোদনা</v>
      </c>
      <c r="K317" s="30"/>
      <c r="L317" s="30">
        <f ca="1">IFERROR(__xludf.DUMMYFUNCTION("""COMPUTED_VALUE"""),25.551889)</f>
        <v>25.551888999999999</v>
      </c>
      <c r="M317" s="30">
        <f ca="1">IFERROR(__xludf.DUMMYFUNCTION("""COMPUTED_VALUE"""),89.812722)</f>
        <v>89.812721999999994</v>
      </c>
      <c r="N317" s="31"/>
      <c r="O31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7" s="30" t="str">
        <f ca="1">IFERROR(__xludf.DUMMYFUNCTION("""COMPUTED_VALUE"""),"ফলদ, বনজ")</f>
        <v>ফলদ, বনজ</v>
      </c>
      <c r="Q317" s="30">
        <f ca="1">IFERROR(__xludf.DUMMYFUNCTION("""COMPUTED_VALUE"""),5)</f>
        <v>5</v>
      </c>
      <c r="R317" s="30"/>
      <c r="S317" s="30"/>
      <c r="T317" s="30"/>
      <c r="U317" s="30" t="str">
        <f ca="1">IFERROR(__xludf.DUMMYFUNCTION("""COMPUTED_VALUE"""),"মোছাঃ আরজিনা খাতুন")</f>
        <v>মোছাঃ আরজিনা খাতুন</v>
      </c>
      <c r="V317" s="30">
        <f ca="1">IFERROR(__xludf.DUMMYFUNCTION("""COMPUTED_VALUE"""),1966945451)</f>
        <v>1966945451</v>
      </c>
      <c r="W317" s="30" t="str">
        <f ca="1">IFERROR(__xludf.DUMMYFUNCTION("""COMPUTED_VALUE"""),"মোঃ জিয়াউর রহমান")</f>
        <v>মোঃ জিয়াউর রহমান</v>
      </c>
      <c r="X317" s="30">
        <f ca="1">IFERROR(__xludf.DUMMYFUNCTION("""COMPUTED_VALUE"""),1912054284)</f>
        <v>1912054284</v>
      </c>
      <c r="Y317" s="30" t="str">
        <f ca="1">IFERROR(__xludf.DUMMYFUNCTION("""COMPUTED_VALUE"""),"মোঃ একরামুল হক")</f>
        <v>মোঃ একরামুল হক</v>
      </c>
      <c r="Z317" s="30">
        <f ca="1">IFERROR(__xludf.DUMMYFUNCTION("""COMPUTED_VALUE"""),1727358724)</f>
        <v>1727358724</v>
      </c>
      <c r="AA317" s="30"/>
      <c r="AB317" s="30"/>
      <c r="AC317" s="30"/>
      <c r="AD317" s="30"/>
    </row>
    <row r="318" spans="1:30" ht="13.5" customHeight="1" x14ac:dyDescent="0.15">
      <c r="A318" s="30"/>
      <c r="B318" s="30"/>
      <c r="C318" s="30" t="str">
        <f ca="1">IFERROR(__xludf.DUMMYFUNCTION("""COMPUTED_VALUE"""),"রংপুর")</f>
        <v>রংপুর</v>
      </c>
      <c r="D318" s="30" t="str">
        <f ca="1">IFERROR(__xludf.DUMMYFUNCTION("""COMPUTED_VALUE"""),"রংপুর")</f>
        <v>রংপুর</v>
      </c>
      <c r="E318" s="30" t="str">
        <f ca="1">IFERROR(__xludf.DUMMYFUNCTION("""COMPUTED_VALUE"""),"কুড়িগ্রাম")</f>
        <v>কুড়িগ্রাম</v>
      </c>
      <c r="F318" s="30" t="str">
        <f ca="1">IFERROR(__xludf.DUMMYFUNCTION("""COMPUTED_VALUE"""),"রৌমারী")</f>
        <v>রৌমারী</v>
      </c>
      <c r="G318" s="30" t="str">
        <f ca="1">IFERROR(__xludf.DUMMYFUNCTION("""COMPUTED_VALUE"""),"রৌমারী")</f>
        <v>রৌমারী</v>
      </c>
      <c r="H318" s="30" t="str">
        <f ca="1">IFERROR(__xludf.DUMMYFUNCTION("""COMPUTED_VALUE"""),"চাকতাবাড়ি")</f>
        <v>চাকতাবাড়ি</v>
      </c>
      <c r="I318" s="30"/>
      <c r="J318" s="30" t="str">
        <f ca="1">IFERROR(__xludf.DUMMYFUNCTION("""COMPUTED_VALUE"""),"প্রণোদনা")</f>
        <v>প্রণোদনা</v>
      </c>
      <c r="K318" s="30"/>
      <c r="L318" s="30">
        <f ca="1">IFERROR(__xludf.DUMMYFUNCTION("""COMPUTED_VALUE"""),25.540944)</f>
        <v>25.540944</v>
      </c>
      <c r="M318" s="30">
        <f ca="1">IFERROR(__xludf.DUMMYFUNCTION("""COMPUTED_VALUE"""),89.812889)</f>
        <v>89.812888999999998</v>
      </c>
      <c r="N318" s="31"/>
      <c r="O31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8" s="30" t="str">
        <f ca="1">IFERROR(__xludf.DUMMYFUNCTION("""COMPUTED_VALUE"""),"ফলদ, বনজ")</f>
        <v>ফলদ, বনজ</v>
      </c>
      <c r="Q318" s="30">
        <f ca="1">IFERROR(__xludf.DUMMYFUNCTION("""COMPUTED_VALUE"""),5)</f>
        <v>5</v>
      </c>
      <c r="R318" s="30"/>
      <c r="S318" s="30"/>
      <c r="T318" s="30"/>
      <c r="U318" s="30" t="str">
        <f ca="1">IFERROR(__xludf.DUMMYFUNCTION("""COMPUTED_VALUE"""),"মোঃ নবিন আলী")</f>
        <v>মোঃ নবিন আলী</v>
      </c>
      <c r="V318" s="30">
        <f ca="1">IFERROR(__xludf.DUMMYFUNCTION("""COMPUTED_VALUE"""),1939945964)</f>
        <v>1939945964</v>
      </c>
      <c r="W318" s="30" t="str">
        <f ca="1">IFERROR(__xludf.DUMMYFUNCTION("""COMPUTED_VALUE"""),"মোঃ জিয়াউর রহমান")</f>
        <v>মোঃ জিয়াউর রহমান</v>
      </c>
      <c r="X318" s="30">
        <f ca="1">IFERROR(__xludf.DUMMYFUNCTION("""COMPUTED_VALUE"""),1912054284)</f>
        <v>1912054284</v>
      </c>
      <c r="Y318" s="30" t="str">
        <f ca="1">IFERROR(__xludf.DUMMYFUNCTION("""COMPUTED_VALUE"""),"মোঃ একরামুল হক")</f>
        <v>মোঃ একরামুল হক</v>
      </c>
      <c r="Z318" s="30">
        <f ca="1">IFERROR(__xludf.DUMMYFUNCTION("""COMPUTED_VALUE"""),1727358724)</f>
        <v>1727358724</v>
      </c>
      <c r="AA318" s="30"/>
      <c r="AB318" s="30"/>
      <c r="AC318" s="30"/>
      <c r="AD318" s="30"/>
    </row>
    <row r="319" spans="1:30" ht="13.5" customHeight="1" x14ac:dyDescent="0.15">
      <c r="A319" s="30"/>
      <c r="B319" s="30"/>
      <c r="C319" s="30" t="str">
        <f ca="1">IFERROR(__xludf.DUMMYFUNCTION("""COMPUTED_VALUE"""),"রংপুর")</f>
        <v>রংপুর</v>
      </c>
      <c r="D319" s="30" t="str">
        <f ca="1">IFERROR(__xludf.DUMMYFUNCTION("""COMPUTED_VALUE"""),"রংপুর")</f>
        <v>রংপুর</v>
      </c>
      <c r="E319" s="30" t="str">
        <f ca="1">IFERROR(__xludf.DUMMYFUNCTION("""COMPUTED_VALUE"""),"কুড়িগ্রাম")</f>
        <v>কুড়িগ্রাম</v>
      </c>
      <c r="F319" s="30" t="str">
        <f ca="1">IFERROR(__xludf.DUMMYFUNCTION("""COMPUTED_VALUE"""),"রৌমারী")</f>
        <v>রৌমারী</v>
      </c>
      <c r="G319" s="30" t="str">
        <f ca="1">IFERROR(__xludf.DUMMYFUNCTION("""COMPUTED_VALUE"""),"রৌমারী")</f>
        <v>রৌমারী</v>
      </c>
      <c r="H319" s="30" t="str">
        <f ca="1">IFERROR(__xludf.DUMMYFUNCTION("""COMPUTED_VALUE"""),"চাকতাবাড়ি")</f>
        <v>চাকতাবাড়ি</v>
      </c>
      <c r="I319" s="30"/>
      <c r="J319" s="30" t="str">
        <f ca="1">IFERROR(__xludf.DUMMYFUNCTION("""COMPUTED_VALUE"""),"প্রণোদনা")</f>
        <v>প্রণোদনা</v>
      </c>
      <c r="K319" s="30"/>
      <c r="L319" s="30">
        <f ca="1">IFERROR(__xludf.DUMMYFUNCTION("""COMPUTED_VALUE"""),25.550306)</f>
        <v>25.550305999999999</v>
      </c>
      <c r="M319" s="30">
        <f ca="1">IFERROR(__xludf.DUMMYFUNCTION("""COMPUTED_VALUE"""),89.814028)</f>
        <v>89.814027999999993</v>
      </c>
      <c r="N319" s="31"/>
      <c r="O31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9" s="30" t="str">
        <f ca="1">IFERROR(__xludf.DUMMYFUNCTION("""COMPUTED_VALUE"""),"ফলদ, বনজ")</f>
        <v>ফলদ, বনজ</v>
      </c>
      <c r="Q319" s="30">
        <f ca="1">IFERROR(__xludf.DUMMYFUNCTION("""COMPUTED_VALUE"""),5)</f>
        <v>5</v>
      </c>
      <c r="R319" s="30"/>
      <c r="S319" s="30"/>
      <c r="T319" s="30"/>
      <c r="U319" s="30" t="str">
        <f ca="1">IFERROR(__xludf.DUMMYFUNCTION("""COMPUTED_VALUE"""),"আঃ রশিদ")</f>
        <v>আঃ রশিদ</v>
      </c>
      <c r="V319" s="30">
        <f ca="1">IFERROR(__xludf.DUMMYFUNCTION("""COMPUTED_VALUE"""),1957952582)</f>
        <v>1957952582</v>
      </c>
      <c r="W319" s="30" t="str">
        <f ca="1">IFERROR(__xludf.DUMMYFUNCTION("""COMPUTED_VALUE"""),"মোঃ জিয়াউর রহমান")</f>
        <v>মোঃ জিয়াউর রহমান</v>
      </c>
      <c r="X319" s="30">
        <f ca="1">IFERROR(__xludf.DUMMYFUNCTION("""COMPUTED_VALUE"""),1912054284)</f>
        <v>1912054284</v>
      </c>
      <c r="Y319" s="30" t="str">
        <f ca="1">IFERROR(__xludf.DUMMYFUNCTION("""COMPUTED_VALUE"""),"মোঃ একরামুল হক")</f>
        <v>মোঃ একরামুল হক</v>
      </c>
      <c r="Z319" s="30">
        <f ca="1">IFERROR(__xludf.DUMMYFUNCTION("""COMPUTED_VALUE"""),1727358724)</f>
        <v>1727358724</v>
      </c>
      <c r="AA319" s="30"/>
      <c r="AB319" s="30"/>
      <c r="AC319" s="30"/>
      <c r="AD319" s="30"/>
    </row>
    <row r="320" spans="1:30" ht="13.5" customHeight="1" x14ac:dyDescent="0.15">
      <c r="N320" s="31"/>
    </row>
    <row r="321" spans="14:14" ht="13.5" customHeight="1" x14ac:dyDescent="0.15">
      <c r="N321" s="31"/>
    </row>
    <row r="322" spans="14:14" ht="13.5" customHeight="1" x14ac:dyDescent="0.15">
      <c r="N322" s="31"/>
    </row>
    <row r="323" spans="14:14" ht="13.5" customHeight="1" x14ac:dyDescent="0.15">
      <c r="N323" s="31"/>
    </row>
    <row r="324" spans="14:14" ht="13.5" customHeight="1" x14ac:dyDescent="0.15">
      <c r="N324" s="31"/>
    </row>
    <row r="325" spans="14:14" ht="13.5" customHeight="1" x14ac:dyDescent="0.15">
      <c r="N325" s="31"/>
    </row>
    <row r="326" spans="14:14" ht="13.5" customHeight="1" x14ac:dyDescent="0.15">
      <c r="N326" s="31"/>
    </row>
    <row r="327" spans="14:14" ht="13.5" customHeight="1" x14ac:dyDescent="0.15">
      <c r="N327" s="31"/>
    </row>
    <row r="328" spans="14:14" ht="13.5" customHeight="1" x14ac:dyDescent="0.15">
      <c r="N328" s="31"/>
    </row>
    <row r="329" spans="14:14" ht="13.5" customHeight="1" x14ac:dyDescent="0.15">
      <c r="N329" s="31"/>
    </row>
    <row r="330" spans="14:14" ht="13.5" customHeight="1" x14ac:dyDescent="0.15">
      <c r="N330" s="31"/>
    </row>
    <row r="331" spans="14:14" ht="13.5" customHeight="1" x14ac:dyDescent="0.15">
      <c r="N331" s="31"/>
    </row>
    <row r="332" spans="14:14" ht="13.5" customHeight="1" x14ac:dyDescent="0.15">
      <c r="N332" s="31"/>
    </row>
    <row r="333" spans="14:14" ht="13.5" customHeight="1" x14ac:dyDescent="0.15">
      <c r="N333" s="31"/>
    </row>
    <row r="334" spans="14:14" ht="13.5" customHeight="1" x14ac:dyDescent="0.15">
      <c r="N334" s="31"/>
    </row>
    <row r="335" spans="14:14" ht="13.5" customHeight="1" x14ac:dyDescent="0.15">
      <c r="N335" s="31"/>
    </row>
    <row r="336" spans="14:14" ht="13.5" customHeight="1" x14ac:dyDescent="0.15">
      <c r="N336" s="31"/>
    </row>
    <row r="337" spans="14:14" ht="13.5" customHeight="1" x14ac:dyDescent="0.15">
      <c r="N337" s="31"/>
    </row>
    <row r="338" spans="14:14" ht="13.5" customHeight="1" x14ac:dyDescent="0.15">
      <c r="N338" s="31"/>
    </row>
    <row r="339" spans="14:14" ht="13.5" customHeight="1" x14ac:dyDescent="0.15">
      <c r="N339" s="31"/>
    </row>
    <row r="340" spans="14:14" ht="13.5" customHeight="1" x14ac:dyDescent="0.15">
      <c r="N340" s="31"/>
    </row>
    <row r="341" spans="14:14" ht="13.5" customHeight="1" x14ac:dyDescent="0.15">
      <c r="N341" s="31"/>
    </row>
    <row r="342" spans="14:14" ht="13.5" customHeight="1" x14ac:dyDescent="0.15">
      <c r="N342" s="31"/>
    </row>
    <row r="343" spans="14:14" ht="13.5" customHeight="1" x14ac:dyDescent="0.15">
      <c r="N343" s="31"/>
    </row>
    <row r="344" spans="14:14" ht="13.5" customHeight="1" x14ac:dyDescent="0.15">
      <c r="N344" s="31"/>
    </row>
    <row r="345" spans="14:14" ht="13.5" customHeight="1" x14ac:dyDescent="0.15">
      <c r="N345" s="31"/>
    </row>
    <row r="346" spans="14:14" ht="13.5" customHeight="1" x14ac:dyDescent="0.15">
      <c r="N346" s="31"/>
    </row>
    <row r="347" spans="14:14" ht="13.5" customHeight="1" x14ac:dyDescent="0.15">
      <c r="N347" s="31"/>
    </row>
    <row r="348" spans="14:14" ht="13.5" customHeight="1" x14ac:dyDescent="0.15">
      <c r="N348" s="31"/>
    </row>
    <row r="349" spans="14:14" ht="13.5" customHeight="1" x14ac:dyDescent="0.15">
      <c r="N349" s="31"/>
    </row>
    <row r="350" spans="14:14" ht="13.5" customHeight="1" x14ac:dyDescent="0.15">
      <c r="N350" s="31"/>
    </row>
    <row r="351" spans="14:14" ht="13.5" customHeight="1" x14ac:dyDescent="0.15">
      <c r="N351" s="31"/>
    </row>
    <row r="352" spans="14:14" ht="13.5" customHeight="1" x14ac:dyDescent="0.15">
      <c r="N352" s="31"/>
    </row>
    <row r="353" spans="14:14" ht="13.5" customHeight="1" x14ac:dyDescent="0.15">
      <c r="N353" s="31"/>
    </row>
    <row r="354" spans="14:14" ht="13.5" customHeight="1" x14ac:dyDescent="0.15">
      <c r="N354" s="31"/>
    </row>
    <row r="355" spans="14:14" ht="13.5" customHeight="1" x14ac:dyDescent="0.15">
      <c r="N355" s="31"/>
    </row>
    <row r="356" spans="14:14" ht="13.5" customHeight="1" x14ac:dyDescent="0.15">
      <c r="N356" s="31"/>
    </row>
    <row r="357" spans="14:14" ht="13.5" customHeight="1" x14ac:dyDescent="0.15">
      <c r="N357" s="31"/>
    </row>
    <row r="358" spans="14:14" ht="13.5" customHeight="1" x14ac:dyDescent="0.15">
      <c r="N358" s="31"/>
    </row>
    <row r="359" spans="14:14" ht="13.5" customHeight="1" x14ac:dyDescent="0.15">
      <c r="N359" s="31"/>
    </row>
    <row r="360" spans="14:14" ht="13.5" customHeight="1" x14ac:dyDescent="0.15">
      <c r="N360" s="31"/>
    </row>
    <row r="361" spans="14:14" ht="13.5" customHeight="1" x14ac:dyDescent="0.15">
      <c r="N361" s="31"/>
    </row>
    <row r="362" spans="14:14" ht="13.5" customHeight="1" x14ac:dyDescent="0.15">
      <c r="N362" s="31"/>
    </row>
    <row r="363" spans="14:14" ht="13.5" customHeight="1" x14ac:dyDescent="0.15">
      <c r="N363" s="31"/>
    </row>
    <row r="364" spans="14:14" ht="13.5" customHeight="1" x14ac:dyDescent="0.15">
      <c r="N364" s="31"/>
    </row>
    <row r="365" spans="14:14" ht="13.5" customHeight="1" x14ac:dyDescent="0.15">
      <c r="N365" s="31"/>
    </row>
    <row r="366" spans="14:14" ht="13.5" customHeight="1" x14ac:dyDescent="0.15">
      <c r="N366" s="31"/>
    </row>
    <row r="367" spans="14:14" ht="13.5" customHeight="1" x14ac:dyDescent="0.15">
      <c r="N367" s="31"/>
    </row>
    <row r="368" spans="14:14" ht="13.5" customHeight="1" x14ac:dyDescent="0.15">
      <c r="N368" s="31"/>
    </row>
    <row r="369" spans="14:14" ht="13.5" customHeight="1" x14ac:dyDescent="0.15">
      <c r="N369" s="31"/>
    </row>
    <row r="370" spans="14:14" ht="13.5" customHeight="1" x14ac:dyDescent="0.15">
      <c r="N370" s="31"/>
    </row>
    <row r="371" spans="14:14" ht="13.5" customHeight="1" x14ac:dyDescent="0.15">
      <c r="N371" s="31"/>
    </row>
    <row r="372" spans="14:14" ht="13.5" customHeight="1" x14ac:dyDescent="0.15">
      <c r="N372" s="31"/>
    </row>
    <row r="373" spans="14:14" ht="13.5" customHeight="1" x14ac:dyDescent="0.15">
      <c r="N373" s="31"/>
    </row>
    <row r="374" spans="14:14" ht="13.5" customHeight="1" x14ac:dyDescent="0.15">
      <c r="N374" s="31"/>
    </row>
    <row r="375" spans="14:14" ht="13.5" customHeight="1" x14ac:dyDescent="0.15">
      <c r="N375" s="31"/>
    </row>
    <row r="376" spans="14:14" ht="13.5" customHeight="1" x14ac:dyDescent="0.15">
      <c r="N376" s="31"/>
    </row>
    <row r="377" spans="14:14" ht="13.5" customHeight="1" x14ac:dyDescent="0.15">
      <c r="N377" s="31"/>
    </row>
    <row r="378" spans="14:14" ht="13.5" customHeight="1" x14ac:dyDescent="0.15">
      <c r="N378" s="31"/>
    </row>
    <row r="379" spans="14:14" ht="13.5" customHeight="1" x14ac:dyDescent="0.15">
      <c r="N379" s="31"/>
    </row>
    <row r="380" spans="14:14" ht="13.5" customHeight="1" x14ac:dyDescent="0.15">
      <c r="N380" s="31"/>
    </row>
    <row r="381" spans="14:14" ht="13.5" customHeight="1" x14ac:dyDescent="0.15">
      <c r="N381" s="31"/>
    </row>
    <row r="382" spans="14:14" ht="13.5" customHeight="1" x14ac:dyDescent="0.15">
      <c r="N382" s="31"/>
    </row>
    <row r="383" spans="14:14" ht="13.5" customHeight="1" x14ac:dyDescent="0.15">
      <c r="N383" s="31"/>
    </row>
    <row r="384" spans="14:14" ht="13.5" customHeight="1" x14ac:dyDescent="0.15">
      <c r="N384" s="31"/>
    </row>
    <row r="385" spans="14:14" ht="13.5" customHeight="1" x14ac:dyDescent="0.15">
      <c r="N385" s="31"/>
    </row>
    <row r="386" spans="14:14" ht="13.5" customHeight="1" x14ac:dyDescent="0.15">
      <c r="N386" s="31"/>
    </row>
    <row r="387" spans="14:14" ht="13.5" customHeight="1" x14ac:dyDescent="0.15">
      <c r="N387" s="31"/>
    </row>
    <row r="388" spans="14:14" ht="13.5" customHeight="1" x14ac:dyDescent="0.15">
      <c r="N388" s="31"/>
    </row>
    <row r="389" spans="14:14" ht="13.5" customHeight="1" x14ac:dyDescent="0.15">
      <c r="N389" s="31"/>
    </row>
    <row r="390" spans="14:14" ht="13.5" customHeight="1" x14ac:dyDescent="0.15">
      <c r="N390" s="31"/>
    </row>
    <row r="391" spans="14:14" ht="13.5" customHeight="1" x14ac:dyDescent="0.15">
      <c r="N391" s="31"/>
    </row>
    <row r="392" spans="14:14" ht="13.5" customHeight="1" x14ac:dyDescent="0.15">
      <c r="N392" s="31"/>
    </row>
    <row r="393" spans="14:14" ht="13.5" customHeight="1" x14ac:dyDescent="0.15">
      <c r="N393" s="31"/>
    </row>
    <row r="394" spans="14:14" ht="13.5" customHeight="1" x14ac:dyDescent="0.15">
      <c r="N394" s="31"/>
    </row>
    <row r="395" spans="14:14" ht="13.5" customHeight="1" x14ac:dyDescent="0.15">
      <c r="N395" s="31"/>
    </row>
    <row r="396" spans="14:14" ht="13.5" customHeight="1" x14ac:dyDescent="0.15">
      <c r="N396" s="31"/>
    </row>
    <row r="397" spans="14:14" ht="13.5" customHeight="1" x14ac:dyDescent="0.15">
      <c r="N397" s="31"/>
    </row>
    <row r="398" spans="14:14" ht="13.5" customHeight="1" x14ac:dyDescent="0.15">
      <c r="N398" s="31"/>
    </row>
    <row r="399" spans="14:14" ht="13.5" customHeight="1" x14ac:dyDescent="0.15">
      <c r="N399" s="31"/>
    </row>
    <row r="400" spans="14:14" ht="13.5" customHeight="1" x14ac:dyDescent="0.15">
      <c r="N400" s="31"/>
    </row>
    <row r="401" spans="14:14" ht="13.5" customHeight="1" x14ac:dyDescent="0.15">
      <c r="N401" s="31"/>
    </row>
    <row r="402" spans="14:14" ht="13.5" customHeight="1" x14ac:dyDescent="0.15">
      <c r="N402" s="31"/>
    </row>
    <row r="403" spans="14:14" ht="13.5" customHeight="1" x14ac:dyDescent="0.15">
      <c r="N403" s="31"/>
    </row>
    <row r="404" spans="14:14" ht="13.5" customHeight="1" x14ac:dyDescent="0.15">
      <c r="N404" s="31"/>
    </row>
    <row r="405" spans="14:14" ht="13.5" customHeight="1" x14ac:dyDescent="0.15">
      <c r="N405" s="31"/>
    </row>
    <row r="406" spans="14:14" ht="13.5" customHeight="1" x14ac:dyDescent="0.15">
      <c r="N406" s="31"/>
    </row>
    <row r="407" spans="14:14" ht="13.5" customHeight="1" x14ac:dyDescent="0.15">
      <c r="N407" s="31"/>
    </row>
    <row r="408" spans="14:14" ht="13.5" customHeight="1" x14ac:dyDescent="0.15">
      <c r="N408" s="31"/>
    </row>
    <row r="409" spans="14:14" ht="13.5" customHeight="1" x14ac:dyDescent="0.15">
      <c r="N409" s="31"/>
    </row>
    <row r="410" spans="14:14" ht="13.5" customHeight="1" x14ac:dyDescent="0.15">
      <c r="N410" s="31"/>
    </row>
    <row r="411" spans="14:14" ht="13.5" customHeight="1" x14ac:dyDescent="0.15">
      <c r="N411" s="31"/>
    </row>
    <row r="412" spans="14:14" ht="13.5" customHeight="1" x14ac:dyDescent="0.15">
      <c r="N412" s="31"/>
    </row>
    <row r="413" spans="14:14" ht="13.5" customHeight="1" x14ac:dyDescent="0.15">
      <c r="N413" s="31"/>
    </row>
    <row r="414" spans="14:14" ht="13.5" customHeight="1" x14ac:dyDescent="0.15">
      <c r="N414" s="31"/>
    </row>
    <row r="415" spans="14:14" ht="13.5" customHeight="1" x14ac:dyDescent="0.15">
      <c r="N415" s="31"/>
    </row>
    <row r="416" spans="14:14" ht="13.5" customHeight="1" x14ac:dyDescent="0.15">
      <c r="N416" s="31"/>
    </row>
    <row r="417" spans="14:14" ht="13.5" customHeight="1" x14ac:dyDescent="0.15">
      <c r="N417" s="31"/>
    </row>
    <row r="418" spans="14:14" ht="13.5" customHeight="1" x14ac:dyDescent="0.15">
      <c r="N418" s="31"/>
    </row>
    <row r="419" spans="14:14" ht="13.5" customHeight="1" x14ac:dyDescent="0.15">
      <c r="N419" s="31"/>
    </row>
    <row r="420" spans="14:14" ht="13.5" customHeight="1" x14ac:dyDescent="0.15">
      <c r="N420" s="31"/>
    </row>
    <row r="421" spans="14:14" ht="13.5" customHeight="1" x14ac:dyDescent="0.15">
      <c r="N421" s="31"/>
    </row>
    <row r="422" spans="14:14" ht="13.5" customHeight="1" x14ac:dyDescent="0.15">
      <c r="N422" s="31"/>
    </row>
    <row r="423" spans="14:14" ht="13.5" customHeight="1" x14ac:dyDescent="0.15">
      <c r="N423" s="31"/>
    </row>
    <row r="424" spans="14:14" ht="13.5" customHeight="1" x14ac:dyDescent="0.15">
      <c r="N424" s="31"/>
    </row>
    <row r="425" spans="14:14" ht="13.5" customHeight="1" x14ac:dyDescent="0.15">
      <c r="N425" s="31"/>
    </row>
    <row r="426" spans="14:14" ht="13.5" customHeight="1" x14ac:dyDescent="0.15">
      <c r="N426" s="31"/>
    </row>
    <row r="427" spans="14:14" ht="13.5" customHeight="1" x14ac:dyDescent="0.15">
      <c r="N427" s="31"/>
    </row>
    <row r="428" spans="14:14" ht="13.5" customHeight="1" x14ac:dyDescent="0.15">
      <c r="N428" s="31"/>
    </row>
    <row r="429" spans="14:14" ht="13.5" customHeight="1" x14ac:dyDescent="0.15">
      <c r="N429" s="31"/>
    </row>
    <row r="430" spans="14:14" ht="13.5" customHeight="1" x14ac:dyDescent="0.15">
      <c r="N430" s="31"/>
    </row>
    <row r="431" spans="14:14" ht="13.5" customHeight="1" x14ac:dyDescent="0.15">
      <c r="N431" s="31"/>
    </row>
    <row r="432" spans="14:14" ht="13.5" customHeight="1" x14ac:dyDescent="0.15">
      <c r="N432" s="31"/>
    </row>
    <row r="433" spans="14:14" ht="13.5" customHeight="1" x14ac:dyDescent="0.15">
      <c r="N433" s="31"/>
    </row>
    <row r="434" spans="14:14" ht="13.5" customHeight="1" x14ac:dyDescent="0.15">
      <c r="N434" s="31"/>
    </row>
    <row r="435" spans="14:14" ht="13.5" customHeight="1" x14ac:dyDescent="0.15">
      <c r="N435" s="31"/>
    </row>
    <row r="436" spans="14:14" ht="13.5" customHeight="1" x14ac:dyDescent="0.15">
      <c r="N436" s="31"/>
    </row>
    <row r="437" spans="14:14" ht="13.5" customHeight="1" x14ac:dyDescent="0.15">
      <c r="N437" s="31"/>
    </row>
    <row r="438" spans="14:14" ht="13.5" customHeight="1" x14ac:dyDescent="0.15">
      <c r="N438" s="31"/>
    </row>
    <row r="439" spans="14:14" ht="13.5" customHeight="1" x14ac:dyDescent="0.15">
      <c r="N439" s="31"/>
    </row>
    <row r="440" spans="14:14" ht="13.5" customHeight="1" x14ac:dyDescent="0.15">
      <c r="N440" s="31"/>
    </row>
    <row r="441" spans="14:14" ht="13.5" customHeight="1" x14ac:dyDescent="0.15">
      <c r="N441" s="31"/>
    </row>
    <row r="442" spans="14:14" ht="13.5" customHeight="1" x14ac:dyDescent="0.15">
      <c r="N442" s="31"/>
    </row>
    <row r="443" spans="14:14" ht="13.5" customHeight="1" x14ac:dyDescent="0.15">
      <c r="N443" s="31"/>
    </row>
    <row r="444" spans="14:14" ht="13.5" customHeight="1" x14ac:dyDescent="0.15">
      <c r="N444" s="31"/>
    </row>
    <row r="445" spans="14:14" ht="13.5" customHeight="1" x14ac:dyDescent="0.15">
      <c r="N445" s="31"/>
    </row>
    <row r="446" spans="14:14" ht="13.5" customHeight="1" x14ac:dyDescent="0.15">
      <c r="N446" s="31"/>
    </row>
    <row r="447" spans="14:14" ht="13.5" customHeight="1" x14ac:dyDescent="0.15">
      <c r="N447" s="31"/>
    </row>
    <row r="448" spans="14:14" ht="13.5" customHeight="1" x14ac:dyDescent="0.15">
      <c r="N448" s="31"/>
    </row>
    <row r="449" spans="14:14" ht="13.5" customHeight="1" x14ac:dyDescent="0.15">
      <c r="N449" s="31"/>
    </row>
    <row r="450" spans="14:14" ht="13.5" customHeight="1" x14ac:dyDescent="0.15">
      <c r="N450" s="31"/>
    </row>
    <row r="451" spans="14:14" ht="13.5" customHeight="1" x14ac:dyDescent="0.15">
      <c r="N451" s="31"/>
    </row>
    <row r="452" spans="14:14" ht="13.5" customHeight="1" x14ac:dyDescent="0.15">
      <c r="N452" s="31"/>
    </row>
    <row r="453" spans="14:14" ht="13.5" customHeight="1" x14ac:dyDescent="0.15">
      <c r="N453" s="31"/>
    </row>
    <row r="454" spans="14:14" ht="13.5" customHeight="1" x14ac:dyDescent="0.15">
      <c r="N454" s="31"/>
    </row>
    <row r="455" spans="14:14" ht="13.5" customHeight="1" x14ac:dyDescent="0.15">
      <c r="N455" s="31"/>
    </row>
    <row r="456" spans="14:14" ht="13.5" customHeight="1" x14ac:dyDescent="0.15">
      <c r="N456" s="31"/>
    </row>
    <row r="457" spans="14:14" ht="13.5" customHeight="1" x14ac:dyDescent="0.15">
      <c r="N457" s="31"/>
    </row>
    <row r="458" spans="14:14" ht="13.5" customHeight="1" x14ac:dyDescent="0.15">
      <c r="N458" s="31"/>
    </row>
    <row r="459" spans="14:14" ht="13.5" customHeight="1" x14ac:dyDescent="0.15">
      <c r="N459" s="31"/>
    </row>
    <row r="460" spans="14:14" ht="13.5" customHeight="1" x14ac:dyDescent="0.15">
      <c r="N460" s="31"/>
    </row>
    <row r="461" spans="14:14" ht="13.5" customHeight="1" x14ac:dyDescent="0.15">
      <c r="N461" s="31"/>
    </row>
    <row r="462" spans="14:14" ht="13.5" customHeight="1" x14ac:dyDescent="0.15">
      <c r="N462" s="31"/>
    </row>
    <row r="463" spans="14:14" ht="13.5" customHeight="1" x14ac:dyDescent="0.15">
      <c r="N463" s="31"/>
    </row>
    <row r="464" spans="14:14" ht="13.5" customHeight="1" x14ac:dyDescent="0.15">
      <c r="N464" s="31"/>
    </row>
    <row r="465" spans="14:14" ht="13.5" customHeight="1" x14ac:dyDescent="0.15">
      <c r="N465" s="31"/>
    </row>
    <row r="466" spans="14:14" ht="13.5" customHeight="1" x14ac:dyDescent="0.15">
      <c r="N466" s="31"/>
    </row>
    <row r="467" spans="14:14" ht="13.5" customHeight="1" x14ac:dyDescent="0.15">
      <c r="N467" s="31"/>
    </row>
    <row r="468" spans="14:14" ht="13.5" customHeight="1" x14ac:dyDescent="0.15">
      <c r="N468" s="31"/>
    </row>
    <row r="469" spans="14:14" ht="13.5" customHeight="1" x14ac:dyDescent="0.15">
      <c r="N469" s="31"/>
    </row>
    <row r="470" spans="14:14" ht="13.5" customHeight="1" x14ac:dyDescent="0.15">
      <c r="N470" s="31"/>
    </row>
    <row r="471" spans="14:14" ht="13.5" customHeight="1" x14ac:dyDescent="0.15">
      <c r="N471" s="31"/>
    </row>
    <row r="472" spans="14:14" ht="13.5" customHeight="1" x14ac:dyDescent="0.15">
      <c r="N472" s="31"/>
    </row>
    <row r="473" spans="14:14" ht="13.5" customHeight="1" x14ac:dyDescent="0.15">
      <c r="N473" s="31"/>
    </row>
    <row r="474" spans="14:14" ht="13.5" customHeight="1" x14ac:dyDescent="0.15">
      <c r="N474" s="31"/>
    </row>
    <row r="475" spans="14:14" ht="13.5" customHeight="1" x14ac:dyDescent="0.15">
      <c r="N475" s="31"/>
    </row>
    <row r="476" spans="14:14" ht="13.5" customHeight="1" x14ac:dyDescent="0.15">
      <c r="N476" s="31"/>
    </row>
    <row r="477" spans="14:14" ht="13.5" customHeight="1" x14ac:dyDescent="0.15">
      <c r="N477" s="31"/>
    </row>
    <row r="478" spans="14:14" ht="13.5" customHeight="1" x14ac:dyDescent="0.15">
      <c r="N478" s="31"/>
    </row>
    <row r="479" spans="14:14" ht="13.5" customHeight="1" x14ac:dyDescent="0.15">
      <c r="N479" s="31"/>
    </row>
    <row r="480" spans="14:14" ht="13.5" customHeight="1" x14ac:dyDescent="0.15">
      <c r="N480" s="31"/>
    </row>
    <row r="481" spans="14:14" ht="13.5" customHeight="1" x14ac:dyDescent="0.15">
      <c r="N481" s="31"/>
    </row>
    <row r="482" spans="14:14" ht="13.5" customHeight="1" x14ac:dyDescent="0.15">
      <c r="N482" s="31"/>
    </row>
    <row r="483" spans="14:14" ht="13.5" customHeight="1" x14ac:dyDescent="0.15">
      <c r="N483" s="31"/>
    </row>
    <row r="484" spans="14:14" ht="13.5" customHeight="1" x14ac:dyDescent="0.15">
      <c r="N484" s="31"/>
    </row>
    <row r="485" spans="14:14" ht="13.5" customHeight="1" x14ac:dyDescent="0.15">
      <c r="N485" s="31"/>
    </row>
    <row r="486" spans="14:14" ht="13.5" customHeight="1" x14ac:dyDescent="0.15">
      <c r="N486" s="31"/>
    </row>
    <row r="487" spans="14:14" ht="13.5" customHeight="1" x14ac:dyDescent="0.15">
      <c r="N487" s="31"/>
    </row>
    <row r="488" spans="14:14" ht="13.5" customHeight="1" x14ac:dyDescent="0.15">
      <c r="N488" s="31"/>
    </row>
    <row r="489" spans="14:14" ht="13.5" customHeight="1" x14ac:dyDescent="0.15">
      <c r="N489" s="31"/>
    </row>
    <row r="490" spans="14:14" ht="13.5" customHeight="1" x14ac:dyDescent="0.15">
      <c r="N490" s="31"/>
    </row>
    <row r="491" spans="14:14" ht="13.5" customHeight="1" x14ac:dyDescent="0.15">
      <c r="N491" s="31"/>
    </row>
    <row r="492" spans="14:14" ht="13.5" customHeight="1" x14ac:dyDescent="0.15">
      <c r="N492" s="31"/>
    </row>
    <row r="493" spans="14:14" ht="13.5" customHeight="1" x14ac:dyDescent="0.15">
      <c r="N493" s="31"/>
    </row>
    <row r="494" spans="14:14" ht="13.5" customHeight="1" x14ac:dyDescent="0.15">
      <c r="N494" s="31"/>
    </row>
    <row r="495" spans="14:14" ht="13.5" customHeight="1" x14ac:dyDescent="0.15">
      <c r="N495" s="31"/>
    </row>
    <row r="496" spans="14:14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pane xSplit="4" ySplit="4" topLeftCell="E5" activePane="bottomRight" state="frozen"/>
      <selection pane="bottomLeft" activeCell="A5" sqref="A5"/>
      <selection pane="topRight" activeCell="E1" sqref="E1"/>
      <selection pane="bottomRight" activeCell="E5" sqref="E5"/>
    </sheetView>
  </sheetViews>
  <sheetFormatPr defaultColWidth="12.625" defaultRowHeight="15" customHeight="1" x14ac:dyDescent="0.15"/>
  <cols>
    <col min="1" max="1" width="5.76171875" customWidth="1"/>
    <col min="2" max="2" width="19.98046875" customWidth="1"/>
    <col min="3" max="3" width="14.953125" customWidth="1"/>
    <col min="4" max="4" width="22.06640625" customWidth="1"/>
    <col min="5" max="5" width="19.98046875" customWidth="1"/>
    <col min="6" max="7" width="14.953125" customWidth="1"/>
    <col min="8" max="12" width="14.21875" customWidth="1"/>
    <col min="13" max="26" width="14.33984375" customWidth="1"/>
  </cols>
  <sheetData>
    <row r="1" spans="1:12" ht="24" customHeight="1" x14ac:dyDescent="0.15">
      <c r="A1" s="149" t="s">
        <v>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8"/>
    </row>
    <row r="2" spans="1:12" ht="16.5" customHeight="1" x14ac:dyDescent="0.15">
      <c r="A2" s="150" t="s">
        <v>41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8"/>
    </row>
    <row r="3" spans="1:12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 ht="24" customHeight="1" x14ac:dyDescent="0.15">
      <c r="A4" s="18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32" t="s">
        <v>48</v>
      </c>
      <c r="G4" s="18" t="s">
        <v>49</v>
      </c>
      <c r="H4" s="18" t="s">
        <v>50</v>
      </c>
      <c r="I4" s="18" t="s">
        <v>51</v>
      </c>
      <c r="J4" s="18" t="s">
        <v>52</v>
      </c>
      <c r="K4" s="18" t="s">
        <v>53</v>
      </c>
      <c r="L4" s="18" t="s">
        <v>54</v>
      </c>
    </row>
    <row r="5" spans="1:12" ht="16.5" customHeight="1" x14ac:dyDescent="0.15">
      <c r="A5" s="25" t="s">
        <v>55</v>
      </c>
      <c r="B5" s="25" t="s">
        <v>56</v>
      </c>
      <c r="C5" s="25" t="s">
        <v>57</v>
      </c>
      <c r="D5" s="25" t="s">
        <v>58</v>
      </c>
      <c r="E5" s="25" t="s">
        <v>59</v>
      </c>
      <c r="F5" s="25">
        <v>1712653740</v>
      </c>
      <c r="G5" s="25" t="s">
        <v>60</v>
      </c>
      <c r="H5" s="25" t="s">
        <v>61</v>
      </c>
      <c r="I5" s="25" t="s">
        <v>62</v>
      </c>
      <c r="J5" s="25"/>
      <c r="K5" s="25"/>
      <c r="L5" s="25"/>
    </row>
    <row r="6" spans="1:12" ht="16.5" customHeight="1" x14ac:dyDescent="0.15">
      <c r="A6" s="21" t="s">
        <v>63</v>
      </c>
      <c r="B6" s="21" t="s">
        <v>64</v>
      </c>
      <c r="C6" s="21" t="s">
        <v>57</v>
      </c>
      <c r="D6" s="21" t="s">
        <v>58</v>
      </c>
      <c r="E6" s="21" t="s">
        <v>59</v>
      </c>
      <c r="F6" s="21">
        <v>1712653740</v>
      </c>
      <c r="G6" s="21" t="s">
        <v>60</v>
      </c>
      <c r="H6" s="21" t="s">
        <v>65</v>
      </c>
      <c r="I6" s="21" t="s">
        <v>62</v>
      </c>
      <c r="J6" s="21"/>
      <c r="K6" s="21"/>
      <c r="L6" s="21"/>
    </row>
    <row r="7" spans="1:12" ht="16.5" customHeight="1" x14ac:dyDescent="0.15">
      <c r="A7" s="25" t="s">
        <v>66</v>
      </c>
      <c r="B7" s="25" t="s">
        <v>67</v>
      </c>
      <c r="C7" s="25" t="s">
        <v>57</v>
      </c>
      <c r="D7" s="25" t="s">
        <v>58</v>
      </c>
      <c r="E7" s="25" t="s">
        <v>59</v>
      </c>
      <c r="F7" s="25">
        <v>1712653740</v>
      </c>
      <c r="G7" s="25" t="s">
        <v>60</v>
      </c>
      <c r="H7" s="25" t="s">
        <v>61</v>
      </c>
      <c r="I7" s="25" t="s">
        <v>62</v>
      </c>
      <c r="J7" s="25"/>
      <c r="K7" s="25"/>
      <c r="L7" s="25"/>
    </row>
    <row r="8" spans="1:12" ht="16.5" customHeight="1" x14ac:dyDescent="0.15">
      <c r="A8" s="21" t="s">
        <v>68</v>
      </c>
      <c r="B8" s="21" t="s">
        <v>69</v>
      </c>
      <c r="C8" s="21" t="s">
        <v>70</v>
      </c>
      <c r="D8" s="21" t="s">
        <v>71</v>
      </c>
      <c r="E8" s="21" t="s">
        <v>59</v>
      </c>
      <c r="F8" s="21">
        <v>1712653740</v>
      </c>
      <c r="G8" s="21" t="s">
        <v>60</v>
      </c>
      <c r="H8" s="21" t="s">
        <v>61</v>
      </c>
      <c r="I8" s="21" t="s">
        <v>62</v>
      </c>
      <c r="J8" s="21"/>
      <c r="K8" s="21"/>
      <c r="L8" s="21"/>
    </row>
    <row r="9" spans="1:12" ht="16.5" customHeight="1" x14ac:dyDescent="0.15">
      <c r="A9" s="25" t="s">
        <v>72</v>
      </c>
      <c r="B9" s="25" t="s">
        <v>73</v>
      </c>
      <c r="C9" s="25" t="s">
        <v>57</v>
      </c>
      <c r="D9" s="25" t="s">
        <v>58</v>
      </c>
      <c r="E9" s="25" t="s">
        <v>59</v>
      </c>
      <c r="F9" s="25">
        <v>1712653740</v>
      </c>
      <c r="G9" s="25" t="s">
        <v>60</v>
      </c>
      <c r="H9" s="25" t="s">
        <v>61</v>
      </c>
      <c r="I9" s="25" t="s">
        <v>62</v>
      </c>
      <c r="J9" s="25"/>
      <c r="K9" s="25"/>
      <c r="L9" s="25"/>
    </row>
    <row r="10" spans="1:12" ht="16.5" customHeight="1" x14ac:dyDescent="0.15">
      <c r="A10" s="21" t="s">
        <v>74</v>
      </c>
      <c r="B10" s="21" t="s">
        <v>75</v>
      </c>
      <c r="C10" s="21" t="s">
        <v>57</v>
      </c>
      <c r="D10" s="21" t="s">
        <v>58</v>
      </c>
      <c r="E10" s="21" t="s">
        <v>59</v>
      </c>
      <c r="F10" s="21">
        <v>1712653740</v>
      </c>
      <c r="G10" s="21" t="s">
        <v>60</v>
      </c>
      <c r="H10" s="21" t="s">
        <v>61</v>
      </c>
      <c r="I10" s="21" t="s">
        <v>62</v>
      </c>
      <c r="J10" s="21"/>
      <c r="K10" s="21"/>
      <c r="L10" s="21"/>
    </row>
    <row r="11" spans="1:12" ht="16.5" customHeight="1" x14ac:dyDescent="0.15">
      <c r="A11" s="25" t="s">
        <v>76</v>
      </c>
      <c r="B11" s="25" t="s">
        <v>77</v>
      </c>
      <c r="C11" s="25" t="s">
        <v>57</v>
      </c>
      <c r="D11" s="25" t="s">
        <v>58</v>
      </c>
      <c r="E11" s="25" t="s">
        <v>78</v>
      </c>
      <c r="F11" s="25">
        <v>1712653740</v>
      </c>
      <c r="G11" s="25" t="s">
        <v>60</v>
      </c>
      <c r="H11" s="25" t="s">
        <v>61</v>
      </c>
      <c r="I11" s="25" t="s">
        <v>62</v>
      </c>
      <c r="J11" s="25"/>
      <c r="K11" s="25"/>
      <c r="L11" s="25"/>
    </row>
    <row r="12" spans="1:12" ht="16.5" customHeight="1" x14ac:dyDescent="0.15">
      <c r="A12" s="21" t="s">
        <v>79</v>
      </c>
      <c r="B12" s="21" t="s">
        <v>80</v>
      </c>
      <c r="C12" s="21" t="s">
        <v>57</v>
      </c>
      <c r="D12" s="21" t="s">
        <v>58</v>
      </c>
      <c r="E12" s="21" t="s">
        <v>78</v>
      </c>
      <c r="F12" s="21">
        <v>1712653740</v>
      </c>
      <c r="G12" s="21" t="s">
        <v>60</v>
      </c>
      <c r="H12" s="21" t="s">
        <v>61</v>
      </c>
      <c r="I12" s="21" t="s">
        <v>62</v>
      </c>
      <c r="J12" s="21"/>
      <c r="K12" s="21"/>
      <c r="L12" s="21"/>
    </row>
    <row r="13" spans="1:12" ht="16.5" customHeight="1" x14ac:dyDescent="0.15">
      <c r="A13" s="25" t="s">
        <v>81</v>
      </c>
      <c r="B13" s="25" t="s">
        <v>82</v>
      </c>
      <c r="C13" s="25" t="s">
        <v>57</v>
      </c>
      <c r="D13" s="25" t="s">
        <v>58</v>
      </c>
      <c r="E13" s="25" t="s">
        <v>78</v>
      </c>
      <c r="F13" s="25">
        <v>1712653740</v>
      </c>
      <c r="G13" s="25" t="s">
        <v>60</v>
      </c>
      <c r="H13" s="25" t="s">
        <v>65</v>
      </c>
      <c r="I13" s="25" t="s">
        <v>62</v>
      </c>
      <c r="J13" s="25"/>
      <c r="K13" s="25"/>
      <c r="L13" s="25"/>
    </row>
    <row r="14" spans="1:12" ht="16.5" customHeight="1" x14ac:dyDescent="0.15">
      <c r="A14" s="21" t="s">
        <v>83</v>
      </c>
      <c r="B14" s="21" t="s">
        <v>84</v>
      </c>
      <c r="C14" s="21" t="s">
        <v>57</v>
      </c>
      <c r="D14" s="21" t="s">
        <v>58</v>
      </c>
      <c r="E14" s="21" t="s">
        <v>78</v>
      </c>
      <c r="F14" s="21">
        <v>1712653740</v>
      </c>
      <c r="G14" s="21" t="s">
        <v>60</v>
      </c>
      <c r="H14" s="21" t="s">
        <v>61</v>
      </c>
      <c r="I14" s="21" t="s">
        <v>85</v>
      </c>
      <c r="J14" s="21"/>
      <c r="K14" s="21"/>
      <c r="L14" s="21"/>
    </row>
    <row r="15" spans="1:12" ht="16.5" customHeight="1" x14ac:dyDescent="0.15">
      <c r="A15" s="25" t="s">
        <v>86</v>
      </c>
      <c r="B15" s="25" t="s">
        <v>87</v>
      </c>
      <c r="C15" s="25" t="s">
        <v>57</v>
      </c>
      <c r="D15" s="25" t="s">
        <v>58</v>
      </c>
      <c r="E15" s="25" t="s">
        <v>78</v>
      </c>
      <c r="F15" s="25">
        <v>1712653740</v>
      </c>
      <c r="G15" s="25" t="s">
        <v>60</v>
      </c>
      <c r="H15" s="25" t="s">
        <v>61</v>
      </c>
      <c r="I15" s="25" t="s">
        <v>62</v>
      </c>
      <c r="J15" s="25"/>
      <c r="K15" s="25"/>
      <c r="L15" s="25"/>
    </row>
    <row r="16" spans="1:12" ht="16.5" customHeight="1" x14ac:dyDescent="0.15">
      <c r="A16" s="21" t="s">
        <v>88</v>
      </c>
      <c r="B16" s="21" t="s">
        <v>89</v>
      </c>
      <c r="C16" s="21" t="s">
        <v>57</v>
      </c>
      <c r="D16" s="21" t="s">
        <v>58</v>
      </c>
      <c r="E16" s="21" t="s">
        <v>78</v>
      </c>
      <c r="F16" s="21">
        <v>1712653740</v>
      </c>
      <c r="G16" s="21" t="s">
        <v>60</v>
      </c>
      <c r="H16" s="21" t="s">
        <v>61</v>
      </c>
      <c r="I16" s="21" t="s">
        <v>62</v>
      </c>
      <c r="J16" s="21"/>
      <c r="K16" s="21"/>
      <c r="L16" s="21"/>
    </row>
    <row r="17" spans="1:12" ht="16.5" customHeight="1" x14ac:dyDescent="0.15">
      <c r="A17" s="25" t="s">
        <v>90</v>
      </c>
      <c r="B17" s="25" t="s">
        <v>91</v>
      </c>
      <c r="C17" s="25" t="s">
        <v>70</v>
      </c>
      <c r="D17" s="25" t="s">
        <v>71</v>
      </c>
      <c r="E17" s="25" t="s">
        <v>92</v>
      </c>
      <c r="F17" s="25">
        <v>1963640835</v>
      </c>
      <c r="G17" s="25" t="s">
        <v>93</v>
      </c>
      <c r="H17" s="25" t="s">
        <v>94</v>
      </c>
      <c r="I17" s="25" t="s">
        <v>95</v>
      </c>
      <c r="J17" s="25"/>
      <c r="K17" s="25"/>
      <c r="L17" s="25"/>
    </row>
    <row r="18" spans="1:12" ht="15" customHeight="1" x14ac:dyDescent="0.15">
      <c r="A18" s="152" t="s">
        <v>96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4"/>
    </row>
    <row r="21" spans="1:12" ht="15.75" customHeight="1" x14ac:dyDescent="0.15"/>
    <row r="22" spans="1:12" ht="15.75" customHeight="1" x14ac:dyDescent="0.15"/>
    <row r="23" spans="1:12" ht="15.75" customHeight="1" x14ac:dyDescent="0.15"/>
    <row r="24" spans="1:12" ht="15.75" customHeight="1" x14ac:dyDescent="0.15"/>
    <row r="25" spans="1:12" ht="15.75" customHeight="1" x14ac:dyDescent="0.15"/>
    <row r="26" spans="1:12" ht="15.75" customHeight="1" x14ac:dyDescent="0.15"/>
    <row r="27" spans="1:12" ht="15.75" customHeight="1" x14ac:dyDescent="0.15"/>
    <row r="28" spans="1:12" ht="15.75" customHeight="1" x14ac:dyDescent="0.15"/>
    <row r="29" spans="1:12" ht="15.75" customHeight="1" x14ac:dyDescent="0.15"/>
    <row r="30" spans="1:12" ht="15.75" customHeight="1" x14ac:dyDescent="0.15"/>
    <row r="31" spans="1:12" ht="15.75" customHeight="1" x14ac:dyDescent="0.15"/>
    <row r="32" spans="1:12" ht="15.75" customHeight="1" x14ac:dyDescent="0.15"/>
    <row r="33" spans="4:6" ht="15.75" customHeight="1" x14ac:dyDescent="0.15"/>
    <row r="34" spans="4:6" ht="13.5" customHeight="1" x14ac:dyDescent="0.15">
      <c r="D34" s="33"/>
      <c r="F34" s="34"/>
    </row>
    <row r="35" spans="4:6" ht="13.5" customHeight="1" x14ac:dyDescent="0.15">
      <c r="D35" s="33"/>
      <c r="F35" s="34"/>
    </row>
    <row r="36" spans="4:6" ht="13.5" customHeight="1" x14ac:dyDescent="0.15">
      <c r="D36" s="33"/>
      <c r="F36" s="34"/>
    </row>
    <row r="37" spans="4:6" ht="13.5" customHeight="1" x14ac:dyDescent="0.15">
      <c r="D37" s="33"/>
      <c r="F37" s="34"/>
    </row>
    <row r="38" spans="4:6" ht="13.5" customHeight="1" x14ac:dyDescent="0.15">
      <c r="D38" s="33"/>
      <c r="F38" s="34"/>
    </row>
    <row r="39" spans="4:6" ht="13.5" customHeight="1" x14ac:dyDescent="0.15">
      <c r="D39" s="33"/>
      <c r="F39" s="34"/>
    </row>
    <row r="40" spans="4:6" ht="13.5" customHeight="1" x14ac:dyDescent="0.15">
      <c r="D40" s="33"/>
      <c r="F40" s="34"/>
    </row>
    <row r="41" spans="4:6" ht="13.5" customHeight="1" x14ac:dyDescent="0.15">
      <c r="D41" s="33"/>
      <c r="F41" s="34"/>
    </row>
    <row r="42" spans="4:6" ht="13.5" customHeight="1" x14ac:dyDescent="0.15">
      <c r="D42" s="33"/>
      <c r="F42" s="34"/>
    </row>
    <row r="43" spans="4:6" ht="13.5" customHeight="1" x14ac:dyDescent="0.15">
      <c r="D43" s="33"/>
      <c r="F43" s="34"/>
    </row>
    <row r="44" spans="4:6" ht="13.5" customHeight="1" x14ac:dyDescent="0.15">
      <c r="D44" s="33"/>
      <c r="F44" s="34"/>
    </row>
    <row r="45" spans="4:6" ht="13.5" customHeight="1" x14ac:dyDescent="0.15">
      <c r="D45" s="33"/>
      <c r="F45" s="34"/>
    </row>
    <row r="46" spans="4:6" ht="13.5" customHeight="1" x14ac:dyDescent="0.15">
      <c r="D46" s="33"/>
      <c r="F46" s="34"/>
    </row>
    <row r="47" spans="4:6" ht="13.5" customHeight="1" x14ac:dyDescent="0.15">
      <c r="D47" s="33"/>
      <c r="F47" s="34"/>
    </row>
    <row r="48" spans="4:6" ht="13.5" customHeight="1" x14ac:dyDescent="0.15">
      <c r="D48" s="33"/>
      <c r="F48" s="34"/>
    </row>
    <row r="49" spans="4:6" ht="13.5" customHeight="1" x14ac:dyDescent="0.15">
      <c r="D49" s="33"/>
      <c r="F49" s="34"/>
    </row>
    <row r="50" spans="4:6" ht="13.5" customHeight="1" x14ac:dyDescent="0.15">
      <c r="D50" s="33"/>
      <c r="F50" s="34"/>
    </row>
    <row r="51" spans="4:6" ht="13.5" customHeight="1" x14ac:dyDescent="0.15">
      <c r="D51" s="33"/>
      <c r="F51" s="34"/>
    </row>
    <row r="52" spans="4:6" ht="13.5" customHeight="1" x14ac:dyDescent="0.15">
      <c r="D52" s="33"/>
      <c r="F52" s="34"/>
    </row>
    <row r="53" spans="4:6" ht="13.5" customHeight="1" x14ac:dyDescent="0.15">
      <c r="D53" s="33"/>
      <c r="F53" s="34"/>
    </row>
    <row r="54" spans="4:6" ht="13.5" customHeight="1" x14ac:dyDescent="0.15">
      <c r="D54" s="33"/>
      <c r="F54" s="34"/>
    </row>
    <row r="55" spans="4:6" ht="13.5" customHeight="1" x14ac:dyDescent="0.15">
      <c r="D55" s="33"/>
      <c r="F55" s="34"/>
    </row>
    <row r="56" spans="4:6" ht="13.5" customHeight="1" x14ac:dyDescent="0.15">
      <c r="D56" s="33"/>
      <c r="F56" s="34"/>
    </row>
    <row r="57" spans="4:6" ht="13.5" customHeight="1" x14ac:dyDescent="0.15">
      <c r="D57" s="33"/>
      <c r="F57" s="34"/>
    </row>
    <row r="58" spans="4:6" ht="13.5" customHeight="1" x14ac:dyDescent="0.15">
      <c r="D58" s="33"/>
      <c r="F58" s="34"/>
    </row>
    <row r="59" spans="4:6" ht="13.5" customHeight="1" x14ac:dyDescent="0.15">
      <c r="D59" s="33"/>
      <c r="F59" s="34"/>
    </row>
    <row r="60" spans="4:6" ht="13.5" customHeight="1" x14ac:dyDescent="0.15">
      <c r="D60" s="33"/>
      <c r="F60" s="34"/>
    </row>
    <row r="61" spans="4:6" ht="13.5" customHeight="1" x14ac:dyDescent="0.15">
      <c r="D61" s="33"/>
      <c r="F61" s="34"/>
    </row>
    <row r="62" spans="4:6" ht="13.5" customHeight="1" x14ac:dyDescent="0.15">
      <c r="D62" s="33"/>
      <c r="F62" s="34"/>
    </row>
    <row r="63" spans="4:6" ht="13.5" customHeight="1" x14ac:dyDescent="0.15">
      <c r="D63" s="33"/>
      <c r="F63" s="34"/>
    </row>
    <row r="64" spans="4:6" ht="13.5" customHeight="1" x14ac:dyDescent="0.15">
      <c r="D64" s="33"/>
      <c r="F64" s="34"/>
    </row>
    <row r="65" spans="4:6" ht="13.5" customHeight="1" x14ac:dyDescent="0.15">
      <c r="D65" s="33"/>
      <c r="F65" s="34"/>
    </row>
    <row r="66" spans="4:6" ht="13.5" customHeight="1" x14ac:dyDescent="0.15">
      <c r="D66" s="33"/>
      <c r="F66" s="34"/>
    </row>
    <row r="67" spans="4:6" ht="13.5" customHeight="1" x14ac:dyDescent="0.15">
      <c r="D67" s="33"/>
      <c r="F67" s="34"/>
    </row>
    <row r="68" spans="4:6" ht="13.5" customHeight="1" x14ac:dyDescent="0.15">
      <c r="D68" s="33"/>
      <c r="F68" s="34"/>
    </row>
    <row r="69" spans="4:6" ht="13.5" customHeight="1" x14ac:dyDescent="0.15">
      <c r="D69" s="33"/>
      <c r="F69" s="34"/>
    </row>
    <row r="70" spans="4:6" ht="13.5" customHeight="1" x14ac:dyDescent="0.15">
      <c r="D70" s="33"/>
      <c r="F70" s="34"/>
    </row>
    <row r="71" spans="4:6" ht="13.5" customHeight="1" x14ac:dyDescent="0.15">
      <c r="D71" s="33"/>
      <c r="F71" s="34"/>
    </row>
    <row r="72" spans="4:6" ht="13.5" customHeight="1" x14ac:dyDescent="0.15">
      <c r="D72" s="33"/>
      <c r="F72" s="34"/>
    </row>
    <row r="73" spans="4:6" ht="13.5" customHeight="1" x14ac:dyDescent="0.15">
      <c r="D73" s="33"/>
      <c r="F73" s="34"/>
    </row>
    <row r="74" spans="4:6" ht="13.5" customHeight="1" x14ac:dyDescent="0.15">
      <c r="D74" s="33"/>
      <c r="F74" s="34"/>
    </row>
    <row r="75" spans="4:6" ht="13.5" customHeight="1" x14ac:dyDescent="0.15">
      <c r="D75" s="33"/>
      <c r="F75" s="34"/>
    </row>
    <row r="76" spans="4:6" ht="13.5" customHeight="1" x14ac:dyDescent="0.15">
      <c r="D76" s="33"/>
      <c r="F76" s="34"/>
    </row>
    <row r="77" spans="4:6" ht="13.5" customHeight="1" x14ac:dyDescent="0.15">
      <c r="D77" s="33"/>
      <c r="F77" s="34"/>
    </row>
    <row r="78" spans="4:6" ht="13.5" customHeight="1" x14ac:dyDescent="0.15">
      <c r="D78" s="33"/>
      <c r="F78" s="34"/>
    </row>
    <row r="79" spans="4:6" ht="13.5" customHeight="1" x14ac:dyDescent="0.15">
      <c r="D79" s="33"/>
      <c r="F79" s="34"/>
    </row>
    <row r="80" spans="4:6" ht="13.5" customHeight="1" x14ac:dyDescent="0.15">
      <c r="D80" s="33"/>
      <c r="F80" s="34"/>
    </row>
    <row r="81" spans="4:6" ht="13.5" customHeight="1" x14ac:dyDescent="0.15">
      <c r="D81" s="33"/>
      <c r="F81" s="34"/>
    </row>
    <row r="82" spans="4:6" ht="13.5" customHeight="1" x14ac:dyDescent="0.15">
      <c r="D82" s="33"/>
      <c r="F82" s="34"/>
    </row>
    <row r="83" spans="4:6" ht="13.5" customHeight="1" x14ac:dyDescent="0.15">
      <c r="D83" s="33"/>
      <c r="F83" s="34"/>
    </row>
    <row r="84" spans="4:6" ht="13.5" customHeight="1" x14ac:dyDescent="0.15">
      <c r="D84" s="33"/>
      <c r="F84" s="34"/>
    </row>
    <row r="85" spans="4:6" ht="13.5" customHeight="1" x14ac:dyDescent="0.15">
      <c r="D85" s="33"/>
      <c r="F85" s="34"/>
    </row>
    <row r="86" spans="4:6" ht="13.5" customHeight="1" x14ac:dyDescent="0.15">
      <c r="D86" s="33"/>
      <c r="F86" s="34"/>
    </row>
    <row r="87" spans="4:6" ht="13.5" customHeight="1" x14ac:dyDescent="0.15">
      <c r="D87" s="33"/>
      <c r="F87" s="34"/>
    </row>
    <row r="88" spans="4:6" ht="13.5" customHeight="1" x14ac:dyDescent="0.15">
      <c r="D88" s="33"/>
      <c r="F88" s="34"/>
    </row>
    <row r="89" spans="4:6" ht="13.5" customHeight="1" x14ac:dyDescent="0.15">
      <c r="D89" s="33"/>
      <c r="F89" s="34"/>
    </row>
    <row r="90" spans="4:6" ht="13.5" customHeight="1" x14ac:dyDescent="0.15">
      <c r="D90" s="33"/>
      <c r="F90" s="34"/>
    </row>
    <row r="91" spans="4:6" ht="13.5" customHeight="1" x14ac:dyDescent="0.15">
      <c r="D91" s="33"/>
      <c r="F91" s="34"/>
    </row>
    <row r="92" spans="4:6" ht="13.5" customHeight="1" x14ac:dyDescent="0.15">
      <c r="D92" s="33"/>
      <c r="F92" s="34"/>
    </row>
    <row r="93" spans="4:6" ht="13.5" customHeight="1" x14ac:dyDescent="0.15">
      <c r="D93" s="33"/>
      <c r="F93" s="34"/>
    </row>
    <row r="94" spans="4:6" ht="13.5" customHeight="1" x14ac:dyDescent="0.15">
      <c r="D94" s="33"/>
      <c r="F94" s="34"/>
    </row>
    <row r="95" spans="4:6" ht="13.5" customHeight="1" x14ac:dyDescent="0.15">
      <c r="D95" s="33"/>
      <c r="F95" s="34"/>
    </row>
    <row r="96" spans="4:6" ht="13.5" customHeight="1" x14ac:dyDescent="0.15">
      <c r="D96" s="33"/>
      <c r="F96" s="34"/>
    </row>
    <row r="97" spans="4:6" ht="13.5" customHeight="1" x14ac:dyDescent="0.15">
      <c r="D97" s="33"/>
      <c r="F97" s="34"/>
    </row>
    <row r="98" spans="4:6" ht="13.5" customHeight="1" x14ac:dyDescent="0.15">
      <c r="D98" s="33"/>
      <c r="F98" s="34"/>
    </row>
    <row r="99" spans="4:6" ht="13.5" customHeight="1" x14ac:dyDescent="0.15">
      <c r="D99" s="33"/>
      <c r="F99" s="34"/>
    </row>
    <row r="100" spans="4:6" ht="13.5" customHeight="1" x14ac:dyDescent="0.15">
      <c r="D100" s="33"/>
      <c r="F100" s="34"/>
    </row>
    <row r="101" spans="4:6" ht="13.5" customHeight="1" x14ac:dyDescent="0.15">
      <c r="D101" s="33"/>
      <c r="F101" s="34"/>
    </row>
    <row r="102" spans="4:6" ht="13.5" customHeight="1" x14ac:dyDescent="0.15">
      <c r="D102" s="33"/>
      <c r="F102" s="34"/>
    </row>
    <row r="103" spans="4:6" ht="13.5" customHeight="1" x14ac:dyDescent="0.15">
      <c r="D103" s="33"/>
      <c r="F103" s="34"/>
    </row>
    <row r="104" spans="4:6" ht="13.5" customHeight="1" x14ac:dyDescent="0.15">
      <c r="D104" s="33"/>
      <c r="F104" s="34"/>
    </row>
    <row r="105" spans="4:6" ht="13.5" customHeight="1" x14ac:dyDescent="0.15">
      <c r="D105" s="33"/>
      <c r="F105" s="34"/>
    </row>
    <row r="106" spans="4:6" ht="13.5" customHeight="1" x14ac:dyDescent="0.15">
      <c r="D106" s="33"/>
      <c r="F106" s="34"/>
    </row>
    <row r="107" spans="4:6" ht="13.5" customHeight="1" x14ac:dyDescent="0.15">
      <c r="D107" s="33"/>
      <c r="F107" s="34"/>
    </row>
    <row r="108" spans="4:6" ht="13.5" customHeight="1" x14ac:dyDescent="0.15">
      <c r="D108" s="33"/>
      <c r="F108" s="34"/>
    </row>
    <row r="109" spans="4:6" ht="13.5" customHeight="1" x14ac:dyDescent="0.15">
      <c r="D109" s="33"/>
      <c r="F109" s="34"/>
    </row>
    <row r="110" spans="4:6" ht="13.5" customHeight="1" x14ac:dyDescent="0.15">
      <c r="D110" s="33"/>
      <c r="F110" s="34"/>
    </row>
    <row r="111" spans="4:6" ht="13.5" customHeight="1" x14ac:dyDescent="0.15">
      <c r="D111" s="33"/>
      <c r="F111" s="34"/>
    </row>
    <row r="112" spans="4:6" ht="13.5" customHeight="1" x14ac:dyDescent="0.15">
      <c r="D112" s="33"/>
      <c r="F112" s="34"/>
    </row>
    <row r="113" spans="4:6" ht="13.5" customHeight="1" x14ac:dyDescent="0.15">
      <c r="D113" s="33"/>
      <c r="F113" s="34"/>
    </row>
    <row r="114" spans="4:6" ht="13.5" customHeight="1" x14ac:dyDescent="0.15">
      <c r="D114" s="33"/>
      <c r="F114" s="34"/>
    </row>
    <row r="115" spans="4:6" ht="13.5" customHeight="1" x14ac:dyDescent="0.15">
      <c r="D115" s="33"/>
      <c r="F115" s="34"/>
    </row>
    <row r="116" spans="4:6" ht="13.5" customHeight="1" x14ac:dyDescent="0.15">
      <c r="D116" s="33"/>
      <c r="F116" s="34"/>
    </row>
    <row r="117" spans="4:6" ht="13.5" customHeight="1" x14ac:dyDescent="0.15">
      <c r="D117" s="33"/>
      <c r="F117" s="34"/>
    </row>
    <row r="118" spans="4:6" ht="13.5" customHeight="1" x14ac:dyDescent="0.15">
      <c r="D118" s="33"/>
      <c r="F118" s="34"/>
    </row>
    <row r="119" spans="4:6" ht="13.5" customHeight="1" x14ac:dyDescent="0.15">
      <c r="D119" s="33"/>
      <c r="F119" s="34"/>
    </row>
    <row r="120" spans="4:6" ht="13.5" customHeight="1" x14ac:dyDescent="0.15">
      <c r="D120" s="33"/>
      <c r="F120" s="34"/>
    </row>
    <row r="121" spans="4:6" ht="13.5" customHeight="1" x14ac:dyDescent="0.15">
      <c r="D121" s="33"/>
      <c r="F121" s="34"/>
    </row>
    <row r="122" spans="4:6" ht="13.5" customHeight="1" x14ac:dyDescent="0.15">
      <c r="D122" s="33"/>
      <c r="F122" s="34"/>
    </row>
    <row r="123" spans="4:6" ht="13.5" customHeight="1" x14ac:dyDescent="0.15">
      <c r="D123" s="33"/>
      <c r="F123" s="34"/>
    </row>
    <row r="124" spans="4:6" ht="13.5" customHeight="1" x14ac:dyDescent="0.15">
      <c r="D124" s="33"/>
      <c r="F124" s="34"/>
    </row>
    <row r="125" spans="4:6" ht="13.5" customHeight="1" x14ac:dyDescent="0.15">
      <c r="D125" s="33"/>
      <c r="F125" s="34"/>
    </row>
    <row r="126" spans="4:6" ht="13.5" customHeight="1" x14ac:dyDescent="0.15">
      <c r="D126" s="33"/>
      <c r="F126" s="34"/>
    </row>
    <row r="127" spans="4:6" ht="13.5" customHeight="1" x14ac:dyDescent="0.15">
      <c r="D127" s="33"/>
      <c r="F127" s="34"/>
    </row>
    <row r="128" spans="4:6" ht="13.5" customHeight="1" x14ac:dyDescent="0.15">
      <c r="D128" s="33"/>
      <c r="F128" s="34"/>
    </row>
    <row r="129" spans="4:6" ht="13.5" customHeight="1" x14ac:dyDescent="0.15">
      <c r="D129" s="33"/>
      <c r="F129" s="34"/>
    </row>
    <row r="130" spans="4:6" ht="13.5" customHeight="1" x14ac:dyDescent="0.15">
      <c r="D130" s="33"/>
      <c r="F130" s="34"/>
    </row>
    <row r="131" spans="4:6" ht="13.5" customHeight="1" x14ac:dyDescent="0.15">
      <c r="D131" s="33"/>
      <c r="F131" s="34"/>
    </row>
    <row r="132" spans="4:6" ht="13.5" customHeight="1" x14ac:dyDescent="0.15">
      <c r="D132" s="33"/>
      <c r="F132" s="34"/>
    </row>
    <row r="133" spans="4:6" ht="13.5" customHeight="1" x14ac:dyDescent="0.15">
      <c r="D133" s="33"/>
      <c r="F133" s="34"/>
    </row>
    <row r="134" spans="4:6" ht="13.5" customHeight="1" x14ac:dyDescent="0.15">
      <c r="D134" s="33"/>
      <c r="F134" s="34"/>
    </row>
    <row r="135" spans="4:6" ht="13.5" customHeight="1" x14ac:dyDescent="0.15">
      <c r="D135" s="33"/>
      <c r="F135" s="34"/>
    </row>
    <row r="136" spans="4:6" ht="13.5" customHeight="1" x14ac:dyDescent="0.15">
      <c r="D136" s="33"/>
      <c r="F136" s="34"/>
    </row>
    <row r="137" spans="4:6" ht="13.5" customHeight="1" x14ac:dyDescent="0.15">
      <c r="D137" s="33"/>
      <c r="F137" s="34"/>
    </row>
    <row r="138" spans="4:6" ht="13.5" customHeight="1" x14ac:dyDescent="0.15">
      <c r="D138" s="33"/>
      <c r="F138" s="34"/>
    </row>
    <row r="139" spans="4:6" ht="13.5" customHeight="1" x14ac:dyDescent="0.15">
      <c r="D139" s="33"/>
      <c r="F139" s="34"/>
    </row>
    <row r="140" spans="4:6" ht="13.5" customHeight="1" x14ac:dyDescent="0.15">
      <c r="D140" s="33"/>
      <c r="F140" s="34"/>
    </row>
    <row r="141" spans="4:6" ht="13.5" customHeight="1" x14ac:dyDescent="0.15">
      <c r="D141" s="33"/>
      <c r="F141" s="34"/>
    </row>
    <row r="142" spans="4:6" ht="13.5" customHeight="1" x14ac:dyDescent="0.15">
      <c r="D142" s="33"/>
      <c r="F142" s="34"/>
    </row>
    <row r="143" spans="4:6" ht="13.5" customHeight="1" x14ac:dyDescent="0.15">
      <c r="D143" s="33"/>
      <c r="F143" s="34"/>
    </row>
    <row r="144" spans="4:6" ht="13.5" customHeight="1" x14ac:dyDescent="0.15">
      <c r="D144" s="33"/>
      <c r="F144" s="34"/>
    </row>
    <row r="145" spans="4:6" ht="13.5" customHeight="1" x14ac:dyDescent="0.15">
      <c r="D145" s="33"/>
      <c r="F145" s="34"/>
    </row>
    <row r="146" spans="4:6" ht="13.5" customHeight="1" x14ac:dyDescent="0.15">
      <c r="D146" s="33"/>
      <c r="F146" s="34"/>
    </row>
    <row r="147" spans="4:6" ht="13.5" customHeight="1" x14ac:dyDescent="0.15">
      <c r="D147" s="33"/>
      <c r="F147" s="34"/>
    </row>
    <row r="148" spans="4:6" ht="13.5" customHeight="1" x14ac:dyDescent="0.15">
      <c r="D148" s="33"/>
      <c r="F148" s="34"/>
    </row>
    <row r="149" spans="4:6" ht="13.5" customHeight="1" x14ac:dyDescent="0.15">
      <c r="D149" s="33"/>
      <c r="F149" s="34"/>
    </row>
    <row r="150" spans="4:6" ht="13.5" customHeight="1" x14ac:dyDescent="0.15">
      <c r="D150" s="33"/>
      <c r="F150" s="34"/>
    </row>
    <row r="151" spans="4:6" ht="13.5" customHeight="1" x14ac:dyDescent="0.15">
      <c r="D151" s="33"/>
      <c r="F151" s="34"/>
    </row>
    <row r="152" spans="4:6" ht="13.5" customHeight="1" x14ac:dyDescent="0.15">
      <c r="D152" s="33"/>
      <c r="F152" s="34"/>
    </row>
    <row r="153" spans="4:6" ht="13.5" customHeight="1" x14ac:dyDescent="0.15">
      <c r="D153" s="33"/>
      <c r="F153" s="34"/>
    </row>
    <row r="154" spans="4:6" ht="13.5" customHeight="1" x14ac:dyDescent="0.15">
      <c r="D154" s="33"/>
      <c r="F154" s="34"/>
    </row>
    <row r="155" spans="4:6" ht="13.5" customHeight="1" x14ac:dyDescent="0.15">
      <c r="D155" s="33"/>
      <c r="F155" s="34"/>
    </row>
    <row r="156" spans="4:6" ht="13.5" customHeight="1" x14ac:dyDescent="0.15">
      <c r="D156" s="33"/>
      <c r="F156" s="34"/>
    </row>
    <row r="157" spans="4:6" ht="13.5" customHeight="1" x14ac:dyDescent="0.15">
      <c r="D157" s="33"/>
      <c r="F157" s="34"/>
    </row>
    <row r="158" spans="4:6" ht="13.5" customHeight="1" x14ac:dyDescent="0.15">
      <c r="D158" s="33"/>
      <c r="F158" s="34"/>
    </row>
    <row r="159" spans="4:6" ht="13.5" customHeight="1" x14ac:dyDescent="0.15">
      <c r="D159" s="33"/>
      <c r="F159" s="34"/>
    </row>
    <row r="160" spans="4:6" ht="13.5" customHeight="1" x14ac:dyDescent="0.15">
      <c r="D160" s="33"/>
      <c r="F160" s="34"/>
    </row>
    <row r="161" spans="4:6" ht="13.5" customHeight="1" x14ac:dyDescent="0.15">
      <c r="D161" s="33"/>
      <c r="F161" s="34"/>
    </row>
    <row r="162" spans="4:6" ht="13.5" customHeight="1" x14ac:dyDescent="0.15">
      <c r="D162" s="33"/>
      <c r="F162" s="34"/>
    </row>
    <row r="163" spans="4:6" ht="13.5" customHeight="1" x14ac:dyDescent="0.15">
      <c r="D163" s="33"/>
      <c r="F163" s="34"/>
    </row>
    <row r="164" spans="4:6" ht="13.5" customHeight="1" x14ac:dyDescent="0.15">
      <c r="D164" s="33"/>
      <c r="F164" s="34"/>
    </row>
    <row r="165" spans="4:6" ht="13.5" customHeight="1" x14ac:dyDescent="0.15">
      <c r="D165" s="33"/>
      <c r="F165" s="34"/>
    </row>
    <row r="166" spans="4:6" ht="13.5" customHeight="1" x14ac:dyDescent="0.15">
      <c r="D166" s="33"/>
      <c r="F166" s="34"/>
    </row>
    <row r="167" spans="4:6" ht="13.5" customHeight="1" x14ac:dyDescent="0.15">
      <c r="D167" s="33"/>
      <c r="F167" s="34"/>
    </row>
    <row r="168" spans="4:6" ht="13.5" customHeight="1" x14ac:dyDescent="0.15">
      <c r="D168" s="33"/>
      <c r="F168" s="34"/>
    </row>
    <row r="169" spans="4:6" ht="13.5" customHeight="1" x14ac:dyDescent="0.15">
      <c r="D169" s="33"/>
      <c r="F169" s="34"/>
    </row>
    <row r="170" spans="4:6" ht="13.5" customHeight="1" x14ac:dyDescent="0.15">
      <c r="D170" s="33"/>
      <c r="F170" s="34"/>
    </row>
    <row r="171" spans="4:6" ht="13.5" customHeight="1" x14ac:dyDescent="0.15">
      <c r="D171" s="33"/>
      <c r="F171" s="34"/>
    </row>
    <row r="172" spans="4:6" ht="13.5" customHeight="1" x14ac:dyDescent="0.15">
      <c r="D172" s="33"/>
      <c r="F172" s="34"/>
    </row>
    <row r="173" spans="4:6" ht="13.5" customHeight="1" x14ac:dyDescent="0.15">
      <c r="D173" s="33"/>
      <c r="F173" s="34"/>
    </row>
    <row r="174" spans="4:6" ht="13.5" customHeight="1" x14ac:dyDescent="0.15">
      <c r="D174" s="33"/>
      <c r="F174" s="34"/>
    </row>
    <row r="175" spans="4:6" ht="13.5" customHeight="1" x14ac:dyDescent="0.15">
      <c r="D175" s="33"/>
      <c r="F175" s="34"/>
    </row>
    <row r="176" spans="4:6" ht="13.5" customHeight="1" x14ac:dyDescent="0.15">
      <c r="D176" s="33"/>
      <c r="F176" s="34"/>
    </row>
    <row r="177" spans="4:6" ht="13.5" customHeight="1" x14ac:dyDescent="0.15">
      <c r="D177" s="33"/>
      <c r="F177" s="34"/>
    </row>
    <row r="178" spans="4:6" ht="13.5" customHeight="1" x14ac:dyDescent="0.15">
      <c r="D178" s="33"/>
      <c r="F178" s="34"/>
    </row>
    <row r="179" spans="4:6" ht="13.5" customHeight="1" x14ac:dyDescent="0.15">
      <c r="D179" s="33"/>
      <c r="F179" s="34"/>
    </row>
    <row r="180" spans="4:6" ht="13.5" customHeight="1" x14ac:dyDescent="0.15">
      <c r="D180" s="33"/>
      <c r="F180" s="34"/>
    </row>
    <row r="181" spans="4:6" ht="13.5" customHeight="1" x14ac:dyDescent="0.15">
      <c r="D181" s="33"/>
      <c r="F181" s="34"/>
    </row>
    <row r="182" spans="4:6" ht="13.5" customHeight="1" x14ac:dyDescent="0.15">
      <c r="D182" s="33"/>
      <c r="F182" s="34"/>
    </row>
    <row r="183" spans="4:6" ht="13.5" customHeight="1" x14ac:dyDescent="0.15">
      <c r="D183" s="33"/>
      <c r="F183" s="34"/>
    </row>
    <row r="184" spans="4:6" ht="13.5" customHeight="1" x14ac:dyDescent="0.15">
      <c r="D184" s="33"/>
      <c r="F184" s="34"/>
    </row>
    <row r="185" spans="4:6" ht="13.5" customHeight="1" x14ac:dyDescent="0.15">
      <c r="D185" s="33"/>
      <c r="F185" s="34"/>
    </row>
    <row r="186" spans="4:6" ht="13.5" customHeight="1" x14ac:dyDescent="0.15">
      <c r="D186" s="33"/>
      <c r="F186" s="34"/>
    </row>
    <row r="187" spans="4:6" ht="13.5" customHeight="1" x14ac:dyDescent="0.15">
      <c r="D187" s="33"/>
      <c r="F187" s="34"/>
    </row>
    <row r="188" spans="4:6" ht="13.5" customHeight="1" x14ac:dyDescent="0.15">
      <c r="D188" s="33"/>
      <c r="F188" s="34"/>
    </row>
    <row r="189" spans="4:6" ht="13.5" customHeight="1" x14ac:dyDescent="0.15">
      <c r="D189" s="33"/>
      <c r="F189" s="34"/>
    </row>
    <row r="190" spans="4:6" ht="13.5" customHeight="1" x14ac:dyDescent="0.15">
      <c r="D190" s="33"/>
      <c r="F190" s="34"/>
    </row>
    <row r="191" spans="4:6" ht="13.5" customHeight="1" x14ac:dyDescent="0.15">
      <c r="D191" s="33"/>
      <c r="F191" s="34"/>
    </row>
    <row r="192" spans="4:6" ht="13.5" customHeight="1" x14ac:dyDescent="0.15">
      <c r="D192" s="33"/>
      <c r="F192" s="34"/>
    </row>
    <row r="193" spans="4:6" ht="13.5" customHeight="1" x14ac:dyDescent="0.15">
      <c r="D193" s="33"/>
      <c r="F193" s="34"/>
    </row>
    <row r="194" spans="4:6" ht="13.5" customHeight="1" x14ac:dyDescent="0.15">
      <c r="D194" s="33"/>
      <c r="F194" s="34"/>
    </row>
    <row r="195" spans="4:6" ht="13.5" customHeight="1" x14ac:dyDescent="0.15">
      <c r="D195" s="33"/>
      <c r="F195" s="34"/>
    </row>
    <row r="196" spans="4:6" ht="13.5" customHeight="1" x14ac:dyDescent="0.15">
      <c r="D196" s="33"/>
      <c r="F196" s="34"/>
    </row>
    <row r="197" spans="4:6" ht="13.5" customHeight="1" x14ac:dyDescent="0.15">
      <c r="D197" s="33"/>
      <c r="F197" s="34"/>
    </row>
    <row r="198" spans="4:6" ht="13.5" customHeight="1" x14ac:dyDescent="0.15">
      <c r="D198" s="33"/>
      <c r="F198" s="34"/>
    </row>
    <row r="199" spans="4:6" ht="13.5" customHeight="1" x14ac:dyDescent="0.15">
      <c r="D199" s="33"/>
      <c r="F199" s="34"/>
    </row>
    <row r="200" spans="4:6" ht="13.5" customHeight="1" x14ac:dyDescent="0.15">
      <c r="D200" s="33"/>
      <c r="F200" s="34"/>
    </row>
    <row r="201" spans="4:6" ht="13.5" customHeight="1" x14ac:dyDescent="0.15">
      <c r="D201" s="33"/>
      <c r="F201" s="34"/>
    </row>
    <row r="202" spans="4:6" ht="13.5" customHeight="1" x14ac:dyDescent="0.15">
      <c r="D202" s="33"/>
      <c r="F202" s="34"/>
    </row>
    <row r="203" spans="4:6" ht="13.5" customHeight="1" x14ac:dyDescent="0.15">
      <c r="D203" s="33"/>
      <c r="F203" s="34"/>
    </row>
    <row r="204" spans="4:6" ht="13.5" customHeight="1" x14ac:dyDescent="0.15">
      <c r="D204" s="33"/>
      <c r="F204" s="34"/>
    </row>
    <row r="205" spans="4:6" ht="13.5" customHeight="1" x14ac:dyDescent="0.15">
      <c r="D205" s="33"/>
      <c r="F205" s="34"/>
    </row>
    <row r="206" spans="4:6" ht="13.5" customHeight="1" x14ac:dyDescent="0.15">
      <c r="D206" s="33"/>
      <c r="F206" s="34"/>
    </row>
    <row r="207" spans="4:6" ht="13.5" customHeight="1" x14ac:dyDescent="0.15">
      <c r="D207" s="33"/>
      <c r="F207" s="34"/>
    </row>
    <row r="208" spans="4:6" ht="13.5" customHeight="1" x14ac:dyDescent="0.15">
      <c r="D208" s="33"/>
      <c r="F208" s="34"/>
    </row>
    <row r="209" spans="4:6" ht="13.5" customHeight="1" x14ac:dyDescent="0.15">
      <c r="D209" s="33"/>
      <c r="F209" s="34"/>
    </row>
    <row r="210" spans="4:6" ht="13.5" customHeight="1" x14ac:dyDescent="0.15">
      <c r="D210" s="33"/>
      <c r="F210" s="34"/>
    </row>
    <row r="211" spans="4:6" ht="13.5" customHeight="1" x14ac:dyDescent="0.15">
      <c r="D211" s="33"/>
      <c r="F211" s="34"/>
    </row>
    <row r="212" spans="4:6" ht="13.5" customHeight="1" x14ac:dyDescent="0.15">
      <c r="D212" s="33"/>
      <c r="F212" s="34"/>
    </row>
    <row r="213" spans="4:6" ht="13.5" customHeight="1" x14ac:dyDescent="0.15">
      <c r="D213" s="33"/>
      <c r="F213" s="34"/>
    </row>
    <row r="214" spans="4:6" ht="13.5" customHeight="1" x14ac:dyDescent="0.15">
      <c r="D214" s="33"/>
      <c r="F214" s="34"/>
    </row>
    <row r="215" spans="4:6" ht="13.5" customHeight="1" x14ac:dyDescent="0.15">
      <c r="D215" s="33"/>
      <c r="F215" s="34"/>
    </row>
    <row r="216" spans="4:6" ht="13.5" customHeight="1" x14ac:dyDescent="0.15">
      <c r="D216" s="33"/>
      <c r="F216" s="34"/>
    </row>
    <row r="217" spans="4:6" ht="13.5" customHeight="1" x14ac:dyDescent="0.15">
      <c r="D217" s="33"/>
      <c r="F217" s="34"/>
    </row>
    <row r="218" spans="4:6" ht="13.5" customHeight="1" x14ac:dyDescent="0.15">
      <c r="D218" s="33"/>
      <c r="F218" s="34"/>
    </row>
    <row r="219" spans="4:6" ht="13.5" customHeight="1" x14ac:dyDescent="0.15">
      <c r="D219" s="33"/>
      <c r="F219" s="34"/>
    </row>
    <row r="220" spans="4:6" ht="13.5" customHeight="1" x14ac:dyDescent="0.15">
      <c r="D220" s="33"/>
      <c r="F220" s="34"/>
    </row>
    <row r="221" spans="4:6" ht="15.75" customHeight="1" x14ac:dyDescent="0.15">
      <c r="D221" s="30"/>
    </row>
    <row r="222" spans="4:6" ht="15.75" customHeight="1" x14ac:dyDescent="0.15">
      <c r="D222" s="30"/>
    </row>
    <row r="223" spans="4:6" ht="15.75" customHeight="1" x14ac:dyDescent="0.15">
      <c r="D223" s="30"/>
    </row>
    <row r="224" spans="4:6" ht="15.75" customHeight="1" x14ac:dyDescent="0.15">
      <c r="D224" s="30"/>
    </row>
    <row r="225" spans="4:4" ht="15.75" customHeight="1" x14ac:dyDescent="0.15">
      <c r="D225" s="30"/>
    </row>
    <row r="226" spans="4:4" ht="15.75" customHeight="1" x14ac:dyDescent="0.15">
      <c r="D226" s="30"/>
    </row>
    <row r="227" spans="4:4" ht="15.75" customHeight="1" x14ac:dyDescent="0.15">
      <c r="D227" s="30"/>
    </row>
    <row r="228" spans="4:4" ht="15.75" customHeight="1" x14ac:dyDescent="0.15">
      <c r="D228" s="30"/>
    </row>
    <row r="229" spans="4:4" ht="15.75" customHeight="1" x14ac:dyDescent="0.15">
      <c r="D229" s="30"/>
    </row>
    <row r="230" spans="4:4" ht="15.75" customHeight="1" x14ac:dyDescent="0.15">
      <c r="D230" s="30"/>
    </row>
    <row r="231" spans="4:4" ht="15.75" customHeight="1" x14ac:dyDescent="0.15">
      <c r="D231" s="30"/>
    </row>
    <row r="232" spans="4:4" ht="15.75" customHeight="1" x14ac:dyDescent="0.15">
      <c r="D232" s="30"/>
    </row>
    <row r="233" spans="4:4" ht="15.75" customHeight="1" x14ac:dyDescent="0.15">
      <c r="D233" s="30"/>
    </row>
    <row r="234" spans="4:4" ht="15.75" customHeight="1" x14ac:dyDescent="0.15">
      <c r="D234" s="30"/>
    </row>
    <row r="235" spans="4:4" ht="15.75" customHeight="1" x14ac:dyDescent="0.15">
      <c r="D235" s="30"/>
    </row>
    <row r="236" spans="4:4" ht="15.75" customHeight="1" x14ac:dyDescent="0.15">
      <c r="D236" s="30"/>
    </row>
    <row r="237" spans="4:4" ht="15.75" customHeight="1" x14ac:dyDescent="0.15">
      <c r="D237" s="30"/>
    </row>
    <row r="238" spans="4:4" ht="15.75" customHeight="1" x14ac:dyDescent="0.15">
      <c r="D238" s="30"/>
    </row>
    <row r="239" spans="4:4" ht="15.75" customHeight="1" x14ac:dyDescent="0.15">
      <c r="D239" s="30"/>
    </row>
    <row r="240" spans="4:4" ht="15.75" customHeight="1" x14ac:dyDescent="0.15">
      <c r="D240" s="30"/>
    </row>
    <row r="241" spans="4:4" ht="15.75" customHeight="1" x14ac:dyDescent="0.15">
      <c r="D241" s="30"/>
    </row>
    <row r="242" spans="4:4" ht="15.75" customHeight="1" x14ac:dyDescent="0.15">
      <c r="D242" s="30"/>
    </row>
    <row r="243" spans="4:4" ht="15.75" customHeight="1" x14ac:dyDescent="0.15">
      <c r="D243" s="30"/>
    </row>
    <row r="244" spans="4:4" ht="15.75" customHeight="1" x14ac:dyDescent="0.15">
      <c r="D244" s="30"/>
    </row>
    <row r="245" spans="4:4" ht="15.75" customHeight="1" x14ac:dyDescent="0.15">
      <c r="D245" s="30"/>
    </row>
    <row r="246" spans="4:4" ht="15.75" customHeight="1" x14ac:dyDescent="0.15">
      <c r="D246" s="30"/>
    </row>
    <row r="247" spans="4:4" ht="15.75" customHeight="1" x14ac:dyDescent="0.15">
      <c r="D247" s="30"/>
    </row>
    <row r="248" spans="4:4" ht="15.75" customHeight="1" x14ac:dyDescent="0.15">
      <c r="D248" s="30"/>
    </row>
    <row r="249" spans="4:4" ht="15.75" customHeight="1" x14ac:dyDescent="0.15">
      <c r="D249" s="30"/>
    </row>
    <row r="250" spans="4:4" ht="15.75" customHeight="1" x14ac:dyDescent="0.15">
      <c r="D250" s="30"/>
    </row>
    <row r="251" spans="4:4" ht="15.75" customHeight="1" x14ac:dyDescent="0.15">
      <c r="D251" s="30"/>
    </row>
    <row r="252" spans="4:4" ht="15.75" customHeight="1" x14ac:dyDescent="0.15">
      <c r="D252" s="30"/>
    </row>
    <row r="253" spans="4:4" ht="15.75" customHeight="1" x14ac:dyDescent="0.15">
      <c r="D253" s="30"/>
    </row>
    <row r="254" spans="4:4" ht="15.75" customHeight="1" x14ac:dyDescent="0.15">
      <c r="D254" s="30"/>
    </row>
    <row r="255" spans="4:4" ht="15.75" customHeight="1" x14ac:dyDescent="0.15">
      <c r="D255" s="30"/>
    </row>
    <row r="256" spans="4:4" ht="15.75" customHeight="1" x14ac:dyDescent="0.15">
      <c r="D256" s="30"/>
    </row>
    <row r="257" spans="4:4" ht="15.75" customHeight="1" x14ac:dyDescent="0.15">
      <c r="D257" s="30"/>
    </row>
    <row r="258" spans="4:4" ht="15.75" customHeight="1" x14ac:dyDescent="0.15">
      <c r="D258" s="30"/>
    </row>
    <row r="259" spans="4:4" ht="15.75" customHeight="1" x14ac:dyDescent="0.15">
      <c r="D259" s="30"/>
    </row>
    <row r="260" spans="4:4" ht="15.75" customHeight="1" x14ac:dyDescent="0.15">
      <c r="D260" s="30"/>
    </row>
    <row r="261" spans="4:4" ht="15.75" customHeight="1" x14ac:dyDescent="0.15">
      <c r="D261" s="30"/>
    </row>
    <row r="262" spans="4:4" ht="15.75" customHeight="1" x14ac:dyDescent="0.15">
      <c r="D262" s="30"/>
    </row>
    <row r="263" spans="4:4" ht="15.75" customHeight="1" x14ac:dyDescent="0.15">
      <c r="D263" s="30"/>
    </row>
    <row r="264" spans="4:4" ht="15.75" customHeight="1" x14ac:dyDescent="0.15">
      <c r="D264" s="30"/>
    </row>
    <row r="265" spans="4:4" ht="15.75" customHeight="1" x14ac:dyDescent="0.15">
      <c r="D265" s="30"/>
    </row>
    <row r="266" spans="4:4" ht="15.75" customHeight="1" x14ac:dyDescent="0.15">
      <c r="D266" s="30"/>
    </row>
    <row r="267" spans="4:4" ht="15.75" customHeight="1" x14ac:dyDescent="0.15">
      <c r="D267" s="30"/>
    </row>
    <row r="268" spans="4:4" ht="15.75" customHeight="1" x14ac:dyDescent="0.15">
      <c r="D268" s="30"/>
    </row>
    <row r="269" spans="4:4" ht="15.75" customHeight="1" x14ac:dyDescent="0.15">
      <c r="D269" s="30"/>
    </row>
    <row r="270" spans="4:4" ht="15.75" customHeight="1" x14ac:dyDescent="0.15">
      <c r="D270" s="30"/>
    </row>
    <row r="271" spans="4:4" ht="15.75" customHeight="1" x14ac:dyDescent="0.15">
      <c r="D271" s="30"/>
    </row>
    <row r="272" spans="4:4" ht="15.75" customHeight="1" x14ac:dyDescent="0.15">
      <c r="D272" s="30"/>
    </row>
    <row r="273" spans="4:4" ht="15.75" customHeight="1" x14ac:dyDescent="0.15">
      <c r="D273" s="30"/>
    </row>
    <row r="274" spans="4:4" ht="15.75" customHeight="1" x14ac:dyDescent="0.15">
      <c r="D274" s="30"/>
    </row>
    <row r="275" spans="4:4" ht="15.75" customHeight="1" x14ac:dyDescent="0.15">
      <c r="D275" s="30"/>
    </row>
    <row r="276" spans="4:4" ht="15.75" customHeight="1" x14ac:dyDescent="0.15">
      <c r="D276" s="30"/>
    </row>
    <row r="277" spans="4:4" ht="15.75" customHeight="1" x14ac:dyDescent="0.15">
      <c r="D277" s="30"/>
    </row>
    <row r="278" spans="4:4" ht="15.75" customHeight="1" x14ac:dyDescent="0.15">
      <c r="D278" s="30"/>
    </row>
    <row r="279" spans="4:4" ht="15.75" customHeight="1" x14ac:dyDescent="0.15">
      <c r="D279" s="30"/>
    </row>
    <row r="280" spans="4:4" ht="15.75" customHeight="1" x14ac:dyDescent="0.15">
      <c r="D280" s="30"/>
    </row>
    <row r="281" spans="4:4" ht="15.75" customHeight="1" x14ac:dyDescent="0.15">
      <c r="D281" s="30"/>
    </row>
    <row r="282" spans="4:4" ht="15.75" customHeight="1" x14ac:dyDescent="0.15">
      <c r="D282" s="30"/>
    </row>
    <row r="283" spans="4:4" ht="15.75" customHeight="1" x14ac:dyDescent="0.15">
      <c r="D283" s="30"/>
    </row>
    <row r="284" spans="4:4" ht="15.75" customHeight="1" x14ac:dyDescent="0.15">
      <c r="D284" s="30"/>
    </row>
    <row r="285" spans="4:4" ht="15.75" customHeight="1" x14ac:dyDescent="0.15">
      <c r="D285" s="30"/>
    </row>
    <row r="286" spans="4:4" ht="15.75" customHeight="1" x14ac:dyDescent="0.15">
      <c r="D286" s="30"/>
    </row>
    <row r="287" spans="4:4" ht="15.75" customHeight="1" x14ac:dyDescent="0.15">
      <c r="D287" s="30"/>
    </row>
    <row r="288" spans="4:4" ht="15.75" customHeight="1" x14ac:dyDescent="0.15">
      <c r="D288" s="30"/>
    </row>
    <row r="289" spans="4:4" ht="15.75" customHeight="1" x14ac:dyDescent="0.15">
      <c r="D289" s="30"/>
    </row>
    <row r="290" spans="4:4" ht="15.75" customHeight="1" x14ac:dyDescent="0.15">
      <c r="D290" s="30"/>
    </row>
    <row r="291" spans="4:4" ht="15.75" customHeight="1" x14ac:dyDescent="0.15">
      <c r="D291" s="30"/>
    </row>
    <row r="292" spans="4:4" ht="15.75" customHeight="1" x14ac:dyDescent="0.15">
      <c r="D292" s="30"/>
    </row>
    <row r="293" spans="4:4" ht="15.75" customHeight="1" x14ac:dyDescent="0.15">
      <c r="D293" s="30"/>
    </row>
    <row r="294" spans="4:4" ht="15.75" customHeight="1" x14ac:dyDescent="0.15">
      <c r="D294" s="30"/>
    </row>
    <row r="295" spans="4:4" ht="15.75" customHeight="1" x14ac:dyDescent="0.15">
      <c r="D295" s="30"/>
    </row>
    <row r="296" spans="4:4" ht="15.75" customHeight="1" x14ac:dyDescent="0.15">
      <c r="D296" s="30"/>
    </row>
    <row r="297" spans="4:4" ht="15.75" customHeight="1" x14ac:dyDescent="0.15">
      <c r="D297" s="30"/>
    </row>
    <row r="298" spans="4:4" ht="15.75" customHeight="1" x14ac:dyDescent="0.15">
      <c r="D298" s="30"/>
    </row>
    <row r="299" spans="4:4" ht="15.75" customHeight="1" x14ac:dyDescent="0.15">
      <c r="D299" s="30"/>
    </row>
    <row r="300" spans="4:4" ht="15.75" customHeight="1" x14ac:dyDescent="0.15">
      <c r="D300" s="30"/>
    </row>
    <row r="301" spans="4:4" ht="15.75" customHeight="1" x14ac:dyDescent="0.15">
      <c r="D301" s="30"/>
    </row>
    <row r="302" spans="4:4" ht="15.75" customHeight="1" x14ac:dyDescent="0.15">
      <c r="D302" s="30"/>
    </row>
    <row r="303" spans="4:4" ht="15.75" customHeight="1" x14ac:dyDescent="0.15">
      <c r="D303" s="30"/>
    </row>
    <row r="304" spans="4:4" ht="15.75" customHeight="1" x14ac:dyDescent="0.15">
      <c r="D304" s="30"/>
    </row>
    <row r="305" spans="4:4" ht="15.75" customHeight="1" x14ac:dyDescent="0.15">
      <c r="D305" s="30"/>
    </row>
    <row r="306" spans="4:4" ht="15.75" customHeight="1" x14ac:dyDescent="0.15">
      <c r="D306" s="30"/>
    </row>
    <row r="307" spans="4:4" ht="15.75" customHeight="1" x14ac:dyDescent="0.15">
      <c r="D307" s="30"/>
    </row>
    <row r="308" spans="4:4" ht="15.75" customHeight="1" x14ac:dyDescent="0.15">
      <c r="D308" s="30"/>
    </row>
    <row r="309" spans="4:4" ht="15.75" customHeight="1" x14ac:dyDescent="0.15">
      <c r="D309" s="30"/>
    </row>
    <row r="310" spans="4:4" ht="15.75" customHeight="1" x14ac:dyDescent="0.15">
      <c r="D310" s="30"/>
    </row>
    <row r="311" spans="4:4" ht="15.75" customHeight="1" x14ac:dyDescent="0.15">
      <c r="D311" s="30"/>
    </row>
    <row r="312" spans="4:4" ht="15.75" customHeight="1" x14ac:dyDescent="0.15">
      <c r="D312" s="30"/>
    </row>
    <row r="313" spans="4:4" ht="15.75" customHeight="1" x14ac:dyDescent="0.15">
      <c r="D313" s="30"/>
    </row>
    <row r="314" spans="4:4" ht="15.75" customHeight="1" x14ac:dyDescent="0.15">
      <c r="D314" s="30"/>
    </row>
    <row r="315" spans="4:4" ht="15.75" customHeight="1" x14ac:dyDescent="0.15">
      <c r="D315" s="30"/>
    </row>
    <row r="316" spans="4:4" ht="15.75" customHeight="1" x14ac:dyDescent="0.15">
      <c r="D316" s="30"/>
    </row>
    <row r="317" spans="4:4" ht="15.75" customHeight="1" x14ac:dyDescent="0.15">
      <c r="D317" s="30"/>
    </row>
    <row r="318" spans="4:4" ht="15.75" customHeight="1" x14ac:dyDescent="0.15">
      <c r="D318" s="30"/>
    </row>
    <row r="319" spans="4:4" ht="15.75" customHeight="1" x14ac:dyDescent="0.15">
      <c r="D319" s="30"/>
    </row>
    <row r="320" spans="4:4" ht="15.75" customHeight="1" x14ac:dyDescent="0.15">
      <c r="D320" s="30"/>
    </row>
    <row r="321" spans="4:4" ht="15.75" customHeight="1" x14ac:dyDescent="0.15">
      <c r="D321" s="30"/>
    </row>
    <row r="322" spans="4:4" ht="15.75" customHeight="1" x14ac:dyDescent="0.15">
      <c r="D322" s="30"/>
    </row>
    <row r="323" spans="4:4" ht="15.75" customHeight="1" x14ac:dyDescent="0.15">
      <c r="D323" s="30"/>
    </row>
    <row r="324" spans="4:4" ht="15.75" customHeight="1" x14ac:dyDescent="0.15">
      <c r="D324" s="30"/>
    </row>
    <row r="325" spans="4:4" ht="15.75" customHeight="1" x14ac:dyDescent="0.15">
      <c r="D325" s="30"/>
    </row>
    <row r="326" spans="4:4" ht="15.75" customHeight="1" x14ac:dyDescent="0.15">
      <c r="D326" s="30"/>
    </row>
    <row r="327" spans="4:4" ht="15.75" customHeight="1" x14ac:dyDescent="0.15">
      <c r="D327" s="30"/>
    </row>
    <row r="328" spans="4:4" ht="15.75" customHeight="1" x14ac:dyDescent="0.15">
      <c r="D328" s="30"/>
    </row>
    <row r="329" spans="4:4" ht="15.75" customHeight="1" x14ac:dyDescent="0.15">
      <c r="D329" s="30"/>
    </row>
    <row r="330" spans="4:4" ht="15.75" customHeight="1" x14ac:dyDescent="0.15">
      <c r="D330" s="30"/>
    </row>
    <row r="331" spans="4:4" ht="15.75" customHeight="1" x14ac:dyDescent="0.15">
      <c r="D331" s="30"/>
    </row>
    <row r="332" spans="4:4" ht="15.75" customHeight="1" x14ac:dyDescent="0.15">
      <c r="D332" s="30"/>
    </row>
    <row r="333" spans="4:4" ht="15.75" customHeight="1" x14ac:dyDescent="0.15">
      <c r="D333" s="30"/>
    </row>
    <row r="334" spans="4:4" ht="15.75" customHeight="1" x14ac:dyDescent="0.15">
      <c r="D334" s="30"/>
    </row>
    <row r="335" spans="4:4" ht="15.75" customHeight="1" x14ac:dyDescent="0.15">
      <c r="D335" s="30"/>
    </row>
    <row r="336" spans="4:4" ht="15.75" customHeight="1" x14ac:dyDescent="0.15">
      <c r="D336" s="30"/>
    </row>
    <row r="337" spans="4:4" ht="15.75" customHeight="1" x14ac:dyDescent="0.15">
      <c r="D337" s="30"/>
    </row>
    <row r="338" spans="4:4" ht="15.75" customHeight="1" x14ac:dyDescent="0.15">
      <c r="D338" s="30"/>
    </row>
    <row r="339" spans="4:4" ht="15.75" customHeight="1" x14ac:dyDescent="0.15">
      <c r="D339" s="30"/>
    </row>
    <row r="340" spans="4:4" ht="15.75" customHeight="1" x14ac:dyDescent="0.15">
      <c r="D340" s="30"/>
    </row>
    <row r="341" spans="4:4" ht="15.75" customHeight="1" x14ac:dyDescent="0.15">
      <c r="D341" s="30"/>
    </row>
    <row r="342" spans="4:4" ht="15.75" customHeight="1" x14ac:dyDescent="0.15">
      <c r="D342" s="30"/>
    </row>
    <row r="343" spans="4:4" ht="15.75" customHeight="1" x14ac:dyDescent="0.15">
      <c r="D343" s="30"/>
    </row>
    <row r="344" spans="4:4" ht="15.75" customHeight="1" x14ac:dyDescent="0.15">
      <c r="D344" s="30"/>
    </row>
    <row r="345" spans="4:4" ht="15.75" customHeight="1" x14ac:dyDescent="0.15">
      <c r="D345" s="30"/>
    </row>
    <row r="346" spans="4:4" ht="15.75" customHeight="1" x14ac:dyDescent="0.15">
      <c r="D346" s="30"/>
    </row>
    <row r="347" spans="4:4" ht="15.75" customHeight="1" x14ac:dyDescent="0.15">
      <c r="D347" s="30"/>
    </row>
    <row r="348" spans="4:4" ht="15.75" customHeight="1" x14ac:dyDescent="0.15">
      <c r="D348" s="30"/>
    </row>
    <row r="349" spans="4:4" ht="15.75" customHeight="1" x14ac:dyDescent="0.15">
      <c r="D349" s="30"/>
    </row>
    <row r="350" spans="4:4" ht="15.75" customHeight="1" x14ac:dyDescent="0.15">
      <c r="D350" s="30"/>
    </row>
    <row r="351" spans="4:4" ht="15.75" customHeight="1" x14ac:dyDescent="0.15">
      <c r="D351" s="30"/>
    </row>
    <row r="352" spans="4:4" ht="15.75" customHeight="1" x14ac:dyDescent="0.15">
      <c r="D352" s="30"/>
    </row>
    <row r="353" spans="4:4" ht="15.75" customHeight="1" x14ac:dyDescent="0.15">
      <c r="D353" s="30"/>
    </row>
    <row r="354" spans="4:4" ht="15.75" customHeight="1" x14ac:dyDescent="0.15">
      <c r="D354" s="30"/>
    </row>
    <row r="355" spans="4:4" ht="15.75" customHeight="1" x14ac:dyDescent="0.15">
      <c r="D355" s="30"/>
    </row>
    <row r="356" spans="4:4" ht="15.75" customHeight="1" x14ac:dyDescent="0.15">
      <c r="D356" s="30"/>
    </row>
    <row r="357" spans="4:4" ht="15.75" customHeight="1" x14ac:dyDescent="0.15">
      <c r="D357" s="30"/>
    </row>
    <row r="358" spans="4:4" ht="15.75" customHeight="1" x14ac:dyDescent="0.15">
      <c r="D358" s="30"/>
    </row>
    <row r="359" spans="4:4" ht="15.75" customHeight="1" x14ac:dyDescent="0.15">
      <c r="D359" s="30"/>
    </row>
    <row r="360" spans="4:4" ht="15.75" customHeight="1" x14ac:dyDescent="0.15">
      <c r="D360" s="30"/>
    </row>
    <row r="361" spans="4:4" ht="15.75" customHeight="1" x14ac:dyDescent="0.15">
      <c r="D361" s="30"/>
    </row>
    <row r="362" spans="4:4" ht="15.75" customHeight="1" x14ac:dyDescent="0.15">
      <c r="D362" s="30"/>
    </row>
    <row r="363" spans="4:4" ht="15.75" customHeight="1" x14ac:dyDescent="0.15">
      <c r="D363" s="30"/>
    </row>
    <row r="364" spans="4:4" ht="15.75" customHeight="1" x14ac:dyDescent="0.15">
      <c r="D364" s="30"/>
    </row>
    <row r="365" spans="4:4" ht="15.75" customHeight="1" x14ac:dyDescent="0.15">
      <c r="D365" s="30"/>
    </row>
    <row r="366" spans="4:4" ht="15.75" customHeight="1" x14ac:dyDescent="0.15">
      <c r="D366" s="30"/>
    </row>
    <row r="367" spans="4:4" ht="15.75" customHeight="1" x14ac:dyDescent="0.15">
      <c r="D367" s="30"/>
    </row>
    <row r="368" spans="4:4" ht="15.75" customHeight="1" x14ac:dyDescent="0.15">
      <c r="D368" s="30"/>
    </row>
    <row r="369" spans="4:4" ht="15.75" customHeight="1" x14ac:dyDescent="0.15">
      <c r="D369" s="30"/>
    </row>
    <row r="370" spans="4:4" ht="15.75" customHeight="1" x14ac:dyDescent="0.15">
      <c r="D370" s="30"/>
    </row>
    <row r="371" spans="4:4" ht="15.75" customHeight="1" x14ac:dyDescent="0.15">
      <c r="D371" s="30"/>
    </row>
    <row r="372" spans="4:4" ht="15.75" customHeight="1" x14ac:dyDescent="0.15">
      <c r="D372" s="30"/>
    </row>
    <row r="373" spans="4:4" ht="15.75" customHeight="1" x14ac:dyDescent="0.15">
      <c r="D373" s="30"/>
    </row>
    <row r="374" spans="4:4" ht="15.75" customHeight="1" x14ac:dyDescent="0.15">
      <c r="D374" s="30"/>
    </row>
    <row r="375" spans="4:4" ht="15.75" customHeight="1" x14ac:dyDescent="0.15">
      <c r="D375" s="30"/>
    </row>
    <row r="376" spans="4:4" ht="15.75" customHeight="1" x14ac:dyDescent="0.15">
      <c r="D376" s="30"/>
    </row>
    <row r="377" spans="4:4" ht="15.75" customHeight="1" x14ac:dyDescent="0.15">
      <c r="D377" s="30"/>
    </row>
    <row r="378" spans="4:4" ht="15.75" customHeight="1" x14ac:dyDescent="0.15">
      <c r="D378" s="30"/>
    </row>
    <row r="379" spans="4:4" ht="15.75" customHeight="1" x14ac:dyDescent="0.15">
      <c r="D379" s="30"/>
    </row>
    <row r="380" spans="4:4" ht="15.75" customHeight="1" x14ac:dyDescent="0.15">
      <c r="D380" s="30"/>
    </row>
    <row r="381" spans="4:4" ht="15.75" customHeight="1" x14ac:dyDescent="0.15">
      <c r="D381" s="30"/>
    </row>
    <row r="382" spans="4:4" ht="15.75" customHeight="1" x14ac:dyDescent="0.15">
      <c r="D382" s="30"/>
    </row>
    <row r="383" spans="4:4" ht="15.75" customHeight="1" x14ac:dyDescent="0.15">
      <c r="D383" s="30"/>
    </row>
    <row r="384" spans="4:4" ht="15.75" customHeight="1" x14ac:dyDescent="0.15">
      <c r="D384" s="30"/>
    </row>
    <row r="385" spans="4:4" ht="15.75" customHeight="1" x14ac:dyDescent="0.15">
      <c r="D385" s="30"/>
    </row>
    <row r="386" spans="4:4" ht="15.75" customHeight="1" x14ac:dyDescent="0.15">
      <c r="D386" s="30"/>
    </row>
    <row r="387" spans="4:4" ht="15.75" customHeight="1" x14ac:dyDescent="0.15">
      <c r="D387" s="30"/>
    </row>
    <row r="388" spans="4:4" ht="15.75" customHeight="1" x14ac:dyDescent="0.15">
      <c r="D388" s="30"/>
    </row>
    <row r="389" spans="4:4" ht="15.75" customHeight="1" x14ac:dyDescent="0.15">
      <c r="D389" s="30"/>
    </row>
    <row r="390" spans="4:4" ht="15.75" customHeight="1" x14ac:dyDescent="0.15">
      <c r="D390" s="30"/>
    </row>
    <row r="391" spans="4:4" ht="15.75" customHeight="1" x14ac:dyDescent="0.15">
      <c r="D391" s="30"/>
    </row>
    <row r="392" spans="4:4" ht="15.75" customHeight="1" x14ac:dyDescent="0.15">
      <c r="D392" s="30"/>
    </row>
    <row r="393" spans="4:4" ht="15.75" customHeight="1" x14ac:dyDescent="0.15">
      <c r="D393" s="30"/>
    </row>
    <row r="394" spans="4:4" ht="15.75" customHeight="1" x14ac:dyDescent="0.15">
      <c r="D394" s="30"/>
    </row>
    <row r="395" spans="4:4" ht="15.75" customHeight="1" x14ac:dyDescent="0.15">
      <c r="D395" s="30"/>
    </row>
    <row r="396" spans="4:4" ht="15.75" customHeight="1" x14ac:dyDescent="0.15">
      <c r="D396" s="30"/>
    </row>
    <row r="397" spans="4:4" ht="15.75" customHeight="1" x14ac:dyDescent="0.15">
      <c r="D397" s="30"/>
    </row>
    <row r="398" spans="4:4" ht="15.75" customHeight="1" x14ac:dyDescent="0.15">
      <c r="D398" s="30"/>
    </row>
    <row r="399" spans="4:4" ht="15.75" customHeight="1" x14ac:dyDescent="0.15">
      <c r="D399" s="30"/>
    </row>
    <row r="400" spans="4:4" ht="15.75" customHeight="1" x14ac:dyDescent="0.15">
      <c r="D400" s="30"/>
    </row>
    <row r="401" spans="4:4" ht="15.75" customHeight="1" x14ac:dyDescent="0.15">
      <c r="D401" s="30"/>
    </row>
    <row r="402" spans="4:4" ht="15.75" customHeight="1" x14ac:dyDescent="0.15">
      <c r="D402" s="30"/>
    </row>
    <row r="403" spans="4:4" ht="15.75" customHeight="1" x14ac:dyDescent="0.15">
      <c r="D403" s="30"/>
    </row>
    <row r="404" spans="4:4" ht="15.75" customHeight="1" x14ac:dyDescent="0.15">
      <c r="D404" s="30"/>
    </row>
    <row r="405" spans="4:4" ht="15.75" customHeight="1" x14ac:dyDescent="0.15">
      <c r="D405" s="30"/>
    </row>
    <row r="406" spans="4:4" ht="15.75" customHeight="1" x14ac:dyDescent="0.15">
      <c r="D406" s="30"/>
    </row>
    <row r="407" spans="4:4" ht="15.75" customHeight="1" x14ac:dyDescent="0.15">
      <c r="D407" s="30"/>
    </row>
    <row r="408" spans="4:4" ht="15.75" customHeight="1" x14ac:dyDescent="0.15">
      <c r="D408" s="30"/>
    </row>
    <row r="409" spans="4:4" ht="15.75" customHeight="1" x14ac:dyDescent="0.15">
      <c r="D409" s="30"/>
    </row>
    <row r="410" spans="4:4" ht="15.75" customHeight="1" x14ac:dyDescent="0.15">
      <c r="D410" s="30"/>
    </row>
    <row r="411" spans="4:4" ht="15.75" customHeight="1" x14ac:dyDescent="0.15">
      <c r="D411" s="30"/>
    </row>
    <row r="412" spans="4:4" ht="15.75" customHeight="1" x14ac:dyDescent="0.15">
      <c r="D412" s="30"/>
    </row>
    <row r="413" spans="4:4" ht="15.75" customHeight="1" x14ac:dyDescent="0.15">
      <c r="D413" s="30"/>
    </row>
    <row r="414" spans="4:4" ht="15.75" customHeight="1" x14ac:dyDescent="0.15">
      <c r="D414" s="30"/>
    </row>
    <row r="415" spans="4:4" ht="15.75" customHeight="1" x14ac:dyDescent="0.15">
      <c r="D415" s="30"/>
    </row>
    <row r="416" spans="4:4" ht="15.75" customHeight="1" x14ac:dyDescent="0.15">
      <c r="D416" s="30"/>
    </row>
    <row r="417" spans="4:4" ht="15.75" customHeight="1" x14ac:dyDescent="0.15">
      <c r="D417" s="30"/>
    </row>
    <row r="418" spans="4:4" ht="15.75" customHeight="1" x14ac:dyDescent="0.15">
      <c r="D418" s="30"/>
    </row>
    <row r="419" spans="4:4" ht="15.75" customHeight="1" x14ac:dyDescent="0.15">
      <c r="D419" s="30"/>
    </row>
    <row r="420" spans="4:4" ht="15.75" customHeight="1" x14ac:dyDescent="0.15">
      <c r="D420" s="30"/>
    </row>
    <row r="421" spans="4:4" ht="15.75" customHeight="1" x14ac:dyDescent="0.15">
      <c r="D421" s="30"/>
    </row>
    <row r="422" spans="4:4" ht="15.75" customHeight="1" x14ac:dyDescent="0.15">
      <c r="D422" s="30"/>
    </row>
    <row r="423" spans="4:4" ht="15.75" customHeight="1" x14ac:dyDescent="0.15">
      <c r="D423" s="30"/>
    </row>
    <row r="424" spans="4:4" ht="15.75" customHeight="1" x14ac:dyDescent="0.15">
      <c r="D424" s="30"/>
    </row>
    <row r="425" spans="4:4" ht="15.75" customHeight="1" x14ac:dyDescent="0.15">
      <c r="D425" s="30"/>
    </row>
    <row r="426" spans="4:4" ht="15.75" customHeight="1" x14ac:dyDescent="0.15">
      <c r="D426" s="30"/>
    </row>
    <row r="427" spans="4:4" ht="15.75" customHeight="1" x14ac:dyDescent="0.15">
      <c r="D427" s="30"/>
    </row>
    <row r="428" spans="4:4" ht="15.75" customHeight="1" x14ac:dyDescent="0.15">
      <c r="D428" s="30"/>
    </row>
    <row r="429" spans="4:4" ht="15.75" customHeight="1" x14ac:dyDescent="0.15">
      <c r="D429" s="30"/>
    </row>
    <row r="430" spans="4:4" ht="15.75" customHeight="1" x14ac:dyDescent="0.15">
      <c r="D430" s="30"/>
    </row>
    <row r="431" spans="4:4" ht="15.75" customHeight="1" x14ac:dyDescent="0.15">
      <c r="D431" s="30"/>
    </row>
    <row r="432" spans="4:4" ht="15.75" customHeight="1" x14ac:dyDescent="0.15">
      <c r="D432" s="30"/>
    </row>
    <row r="433" spans="4:4" ht="15.75" customHeight="1" x14ac:dyDescent="0.15">
      <c r="D433" s="30"/>
    </row>
    <row r="434" spans="4:4" ht="15.75" customHeight="1" x14ac:dyDescent="0.15">
      <c r="D434" s="30"/>
    </row>
    <row r="435" spans="4:4" ht="15.75" customHeight="1" x14ac:dyDescent="0.15">
      <c r="D435" s="30"/>
    </row>
    <row r="436" spans="4:4" ht="15.75" customHeight="1" x14ac:dyDescent="0.15">
      <c r="D436" s="30"/>
    </row>
    <row r="437" spans="4:4" ht="15.75" customHeight="1" x14ac:dyDescent="0.15">
      <c r="D437" s="30"/>
    </row>
    <row r="438" spans="4:4" ht="15.75" customHeight="1" x14ac:dyDescent="0.15">
      <c r="D438" s="30"/>
    </row>
    <row r="439" spans="4:4" ht="15.75" customHeight="1" x14ac:dyDescent="0.15">
      <c r="D439" s="30"/>
    </row>
    <row r="440" spans="4:4" ht="15.75" customHeight="1" x14ac:dyDescent="0.15">
      <c r="D440" s="30"/>
    </row>
    <row r="441" spans="4:4" ht="15.75" customHeight="1" x14ac:dyDescent="0.15">
      <c r="D441" s="30"/>
    </row>
    <row r="442" spans="4:4" ht="15.75" customHeight="1" x14ac:dyDescent="0.15">
      <c r="D442" s="30"/>
    </row>
    <row r="443" spans="4:4" ht="15.75" customHeight="1" x14ac:dyDescent="0.15">
      <c r="D443" s="30"/>
    </row>
    <row r="444" spans="4:4" ht="15.75" customHeight="1" x14ac:dyDescent="0.15">
      <c r="D444" s="30"/>
    </row>
    <row r="445" spans="4:4" ht="15.75" customHeight="1" x14ac:dyDescent="0.15">
      <c r="D445" s="30"/>
    </row>
    <row r="446" spans="4:4" ht="15.75" customHeight="1" x14ac:dyDescent="0.15">
      <c r="D446" s="30"/>
    </row>
    <row r="447" spans="4:4" ht="15.75" customHeight="1" x14ac:dyDescent="0.15">
      <c r="D447" s="30"/>
    </row>
    <row r="448" spans="4:4" ht="15.75" customHeight="1" x14ac:dyDescent="0.15">
      <c r="D448" s="30"/>
    </row>
    <row r="449" spans="4:4" ht="15.75" customHeight="1" x14ac:dyDescent="0.15">
      <c r="D449" s="30"/>
    </row>
    <row r="450" spans="4:4" ht="15.75" customHeight="1" x14ac:dyDescent="0.15">
      <c r="D450" s="30"/>
    </row>
    <row r="451" spans="4:4" ht="15.75" customHeight="1" x14ac:dyDescent="0.15">
      <c r="D451" s="30"/>
    </row>
    <row r="452" spans="4:4" ht="15.75" customHeight="1" x14ac:dyDescent="0.15">
      <c r="D452" s="30"/>
    </row>
    <row r="453" spans="4:4" ht="15.75" customHeight="1" x14ac:dyDescent="0.15">
      <c r="D453" s="30"/>
    </row>
    <row r="454" spans="4:4" ht="15.75" customHeight="1" x14ac:dyDescent="0.15">
      <c r="D454" s="30"/>
    </row>
    <row r="455" spans="4:4" ht="15.75" customHeight="1" x14ac:dyDescent="0.15">
      <c r="D455" s="30"/>
    </row>
    <row r="456" spans="4:4" ht="15.75" customHeight="1" x14ac:dyDescent="0.15">
      <c r="D456" s="30"/>
    </row>
    <row r="457" spans="4:4" ht="15.75" customHeight="1" x14ac:dyDescent="0.15">
      <c r="D457" s="30"/>
    </row>
    <row r="458" spans="4:4" ht="15.75" customHeight="1" x14ac:dyDescent="0.15">
      <c r="D458" s="30"/>
    </row>
    <row r="459" spans="4:4" ht="15.75" customHeight="1" x14ac:dyDescent="0.15">
      <c r="D459" s="30"/>
    </row>
    <row r="460" spans="4:4" ht="15.75" customHeight="1" x14ac:dyDescent="0.15">
      <c r="D460" s="30"/>
    </row>
    <row r="461" spans="4:4" ht="15.75" customHeight="1" x14ac:dyDescent="0.15">
      <c r="D461" s="30"/>
    </row>
    <row r="462" spans="4:4" ht="15.75" customHeight="1" x14ac:dyDescent="0.15">
      <c r="D462" s="30"/>
    </row>
    <row r="463" spans="4:4" ht="15.75" customHeight="1" x14ac:dyDescent="0.15">
      <c r="D463" s="30"/>
    </row>
    <row r="464" spans="4:4" ht="15.75" customHeight="1" x14ac:dyDescent="0.15">
      <c r="D464" s="30"/>
    </row>
    <row r="465" spans="4:4" ht="15.75" customHeight="1" x14ac:dyDescent="0.15">
      <c r="D465" s="30"/>
    </row>
    <row r="466" spans="4:4" ht="15.75" customHeight="1" x14ac:dyDescent="0.15">
      <c r="D466" s="30"/>
    </row>
    <row r="467" spans="4:4" ht="15.75" customHeight="1" x14ac:dyDescent="0.15">
      <c r="D467" s="30"/>
    </row>
    <row r="468" spans="4:4" ht="15.75" customHeight="1" x14ac:dyDescent="0.15">
      <c r="D468" s="30"/>
    </row>
    <row r="469" spans="4:4" ht="15.75" customHeight="1" x14ac:dyDescent="0.15">
      <c r="D469" s="30"/>
    </row>
    <row r="470" spans="4:4" ht="15.75" customHeight="1" x14ac:dyDescent="0.15">
      <c r="D470" s="30"/>
    </row>
    <row r="471" spans="4:4" ht="15.75" customHeight="1" x14ac:dyDescent="0.15">
      <c r="D471" s="30"/>
    </row>
    <row r="472" spans="4:4" ht="15.75" customHeight="1" x14ac:dyDescent="0.15">
      <c r="D472" s="30"/>
    </row>
    <row r="473" spans="4:4" ht="15.75" customHeight="1" x14ac:dyDescent="0.15">
      <c r="D473" s="30"/>
    </row>
    <row r="474" spans="4:4" ht="15.75" customHeight="1" x14ac:dyDescent="0.15">
      <c r="D474" s="30"/>
    </row>
    <row r="475" spans="4:4" ht="15.75" customHeight="1" x14ac:dyDescent="0.15">
      <c r="D475" s="30"/>
    </row>
    <row r="476" spans="4:4" ht="15.75" customHeight="1" x14ac:dyDescent="0.15">
      <c r="D476" s="30"/>
    </row>
    <row r="477" spans="4:4" ht="15.75" customHeight="1" x14ac:dyDescent="0.15">
      <c r="D477" s="30"/>
    </row>
    <row r="478" spans="4:4" ht="15.75" customHeight="1" x14ac:dyDescent="0.15">
      <c r="D478" s="30"/>
    </row>
    <row r="479" spans="4:4" ht="15.75" customHeight="1" x14ac:dyDescent="0.15">
      <c r="D479" s="30"/>
    </row>
    <row r="480" spans="4:4" ht="15.75" customHeight="1" x14ac:dyDescent="0.15">
      <c r="D480" s="30"/>
    </row>
    <row r="481" spans="4:4" ht="15.75" customHeight="1" x14ac:dyDescent="0.15">
      <c r="D481" s="30"/>
    </row>
    <row r="482" spans="4:4" ht="15.75" customHeight="1" x14ac:dyDescent="0.15">
      <c r="D482" s="30"/>
    </row>
    <row r="483" spans="4:4" ht="15.75" customHeight="1" x14ac:dyDescent="0.15">
      <c r="D483" s="30"/>
    </row>
    <row r="484" spans="4:4" ht="15.75" customHeight="1" x14ac:dyDescent="0.15">
      <c r="D484" s="30"/>
    </row>
    <row r="485" spans="4:4" ht="15.75" customHeight="1" x14ac:dyDescent="0.15">
      <c r="D485" s="30"/>
    </row>
    <row r="486" spans="4:4" ht="15.75" customHeight="1" x14ac:dyDescent="0.15">
      <c r="D486" s="30"/>
    </row>
    <row r="487" spans="4:4" ht="15.75" customHeight="1" x14ac:dyDescent="0.15">
      <c r="D487" s="30"/>
    </row>
    <row r="488" spans="4:4" ht="15.75" customHeight="1" x14ac:dyDescent="0.15">
      <c r="D488" s="30"/>
    </row>
    <row r="489" spans="4:4" ht="15.75" customHeight="1" x14ac:dyDescent="0.15">
      <c r="D489" s="30"/>
    </row>
    <row r="490" spans="4:4" ht="15.75" customHeight="1" x14ac:dyDescent="0.15">
      <c r="D490" s="30"/>
    </row>
    <row r="491" spans="4:4" ht="15.75" customHeight="1" x14ac:dyDescent="0.15">
      <c r="D491" s="30"/>
    </row>
    <row r="492" spans="4:4" ht="15.75" customHeight="1" x14ac:dyDescent="0.15">
      <c r="D492" s="30"/>
    </row>
    <row r="493" spans="4:4" ht="15.75" customHeight="1" x14ac:dyDescent="0.15">
      <c r="D493" s="30"/>
    </row>
    <row r="494" spans="4:4" ht="15.75" customHeight="1" x14ac:dyDescent="0.15">
      <c r="D494" s="30"/>
    </row>
    <row r="495" spans="4:4" ht="15.75" customHeight="1" x14ac:dyDescent="0.15">
      <c r="D495" s="30"/>
    </row>
    <row r="496" spans="4:4" ht="15.75" customHeight="1" x14ac:dyDescent="0.15">
      <c r="D496" s="30"/>
    </row>
    <row r="497" spans="4:4" ht="15.75" customHeight="1" x14ac:dyDescent="0.15">
      <c r="D497" s="30"/>
    </row>
    <row r="498" spans="4:4" ht="15.75" customHeight="1" x14ac:dyDescent="0.15">
      <c r="D498" s="30"/>
    </row>
    <row r="499" spans="4:4" ht="15.75" customHeight="1" x14ac:dyDescent="0.15">
      <c r="D499" s="30"/>
    </row>
    <row r="500" spans="4:4" ht="15.75" customHeight="1" x14ac:dyDescent="0.15">
      <c r="D500" s="30"/>
    </row>
    <row r="501" spans="4:4" ht="15.75" customHeight="1" x14ac:dyDescent="0.15">
      <c r="D501" s="30"/>
    </row>
    <row r="502" spans="4:4" ht="15.75" customHeight="1" x14ac:dyDescent="0.15">
      <c r="D502" s="30"/>
    </row>
    <row r="503" spans="4:4" ht="15.75" customHeight="1" x14ac:dyDescent="0.15">
      <c r="D503" s="30"/>
    </row>
    <row r="504" spans="4:4" ht="15.75" customHeight="1" x14ac:dyDescent="0.15">
      <c r="D504" s="30"/>
    </row>
    <row r="505" spans="4:4" ht="15.75" customHeight="1" x14ac:dyDescent="0.15">
      <c r="D505" s="30"/>
    </row>
    <row r="506" spans="4:4" ht="15.75" customHeight="1" x14ac:dyDescent="0.15">
      <c r="D506" s="30"/>
    </row>
    <row r="507" spans="4:4" ht="15.75" customHeight="1" x14ac:dyDescent="0.15">
      <c r="D507" s="30"/>
    </row>
    <row r="508" spans="4:4" ht="15.75" customHeight="1" x14ac:dyDescent="0.15">
      <c r="D508" s="30"/>
    </row>
    <row r="509" spans="4:4" ht="15.75" customHeight="1" x14ac:dyDescent="0.15">
      <c r="D509" s="30"/>
    </row>
    <row r="510" spans="4:4" ht="15.75" customHeight="1" x14ac:dyDescent="0.15">
      <c r="D510" s="30"/>
    </row>
    <row r="511" spans="4:4" ht="15.75" customHeight="1" x14ac:dyDescent="0.15">
      <c r="D511" s="30"/>
    </row>
    <row r="512" spans="4:4" ht="15.75" customHeight="1" x14ac:dyDescent="0.15">
      <c r="D512" s="30"/>
    </row>
    <row r="513" spans="4:4" ht="15.75" customHeight="1" x14ac:dyDescent="0.15">
      <c r="D513" s="30"/>
    </row>
    <row r="514" spans="4:4" ht="15.75" customHeight="1" x14ac:dyDescent="0.15">
      <c r="D514" s="30"/>
    </row>
    <row r="515" spans="4:4" ht="15.75" customHeight="1" x14ac:dyDescent="0.15">
      <c r="D515" s="30"/>
    </row>
    <row r="516" spans="4:4" ht="15.75" customHeight="1" x14ac:dyDescent="0.15">
      <c r="D516" s="30"/>
    </row>
    <row r="517" spans="4:4" ht="15.75" customHeight="1" x14ac:dyDescent="0.15">
      <c r="D517" s="30"/>
    </row>
    <row r="518" spans="4:4" ht="15.75" customHeight="1" x14ac:dyDescent="0.15">
      <c r="D518" s="30"/>
    </row>
    <row r="519" spans="4:4" ht="15.75" customHeight="1" x14ac:dyDescent="0.15">
      <c r="D519" s="30"/>
    </row>
    <row r="520" spans="4:4" ht="15.75" customHeight="1" x14ac:dyDescent="0.15">
      <c r="D520" s="30"/>
    </row>
    <row r="521" spans="4:4" ht="15.75" customHeight="1" x14ac:dyDescent="0.15">
      <c r="D521" s="30"/>
    </row>
    <row r="522" spans="4:4" ht="15.75" customHeight="1" x14ac:dyDescent="0.15">
      <c r="D522" s="30"/>
    </row>
    <row r="523" spans="4:4" ht="15.75" customHeight="1" x14ac:dyDescent="0.15">
      <c r="D523" s="30"/>
    </row>
    <row r="524" spans="4:4" ht="15.75" customHeight="1" x14ac:dyDescent="0.15">
      <c r="D524" s="30"/>
    </row>
    <row r="525" spans="4:4" ht="15.75" customHeight="1" x14ac:dyDescent="0.15">
      <c r="D525" s="30"/>
    </row>
    <row r="526" spans="4:4" ht="15.75" customHeight="1" x14ac:dyDescent="0.15">
      <c r="D526" s="30"/>
    </row>
    <row r="527" spans="4:4" ht="15.75" customHeight="1" x14ac:dyDescent="0.15">
      <c r="D527" s="30"/>
    </row>
    <row r="528" spans="4:4" ht="15.75" customHeight="1" x14ac:dyDescent="0.15">
      <c r="D528" s="30"/>
    </row>
    <row r="529" spans="4:4" ht="15.75" customHeight="1" x14ac:dyDescent="0.15">
      <c r="D529" s="30"/>
    </row>
    <row r="530" spans="4:4" ht="15.75" customHeight="1" x14ac:dyDescent="0.15">
      <c r="D530" s="30"/>
    </row>
    <row r="531" spans="4:4" ht="15.75" customHeight="1" x14ac:dyDescent="0.15">
      <c r="D531" s="30"/>
    </row>
    <row r="532" spans="4:4" ht="15.75" customHeight="1" x14ac:dyDescent="0.15">
      <c r="D532" s="30"/>
    </row>
    <row r="533" spans="4:4" ht="15.75" customHeight="1" x14ac:dyDescent="0.15">
      <c r="D533" s="30"/>
    </row>
    <row r="534" spans="4:4" ht="15.75" customHeight="1" x14ac:dyDescent="0.15">
      <c r="D534" s="30"/>
    </row>
    <row r="535" spans="4:4" ht="15.75" customHeight="1" x14ac:dyDescent="0.15">
      <c r="D535" s="30"/>
    </row>
    <row r="536" spans="4:4" ht="15.75" customHeight="1" x14ac:dyDescent="0.15">
      <c r="D536" s="30"/>
    </row>
    <row r="537" spans="4:4" ht="15.75" customHeight="1" x14ac:dyDescent="0.15">
      <c r="D537" s="30"/>
    </row>
    <row r="538" spans="4:4" ht="15.75" customHeight="1" x14ac:dyDescent="0.15">
      <c r="D538" s="30"/>
    </row>
    <row r="539" spans="4:4" ht="15.75" customHeight="1" x14ac:dyDescent="0.15">
      <c r="D539" s="30"/>
    </row>
    <row r="540" spans="4:4" ht="15.75" customHeight="1" x14ac:dyDescent="0.15">
      <c r="D540" s="30"/>
    </row>
    <row r="541" spans="4:4" ht="15.75" customHeight="1" x14ac:dyDescent="0.15">
      <c r="D541" s="30"/>
    </row>
    <row r="542" spans="4:4" ht="15.75" customHeight="1" x14ac:dyDescent="0.15">
      <c r="D542" s="30"/>
    </row>
    <row r="543" spans="4:4" ht="15.75" customHeight="1" x14ac:dyDescent="0.15">
      <c r="D543" s="30"/>
    </row>
    <row r="544" spans="4:4" ht="15.75" customHeight="1" x14ac:dyDescent="0.15">
      <c r="D544" s="30"/>
    </row>
    <row r="545" spans="4:4" ht="15.75" customHeight="1" x14ac:dyDescent="0.15">
      <c r="D545" s="30"/>
    </row>
    <row r="546" spans="4:4" ht="15.75" customHeight="1" x14ac:dyDescent="0.15">
      <c r="D546" s="30"/>
    </row>
    <row r="547" spans="4:4" ht="15.75" customHeight="1" x14ac:dyDescent="0.15">
      <c r="D547" s="30"/>
    </row>
    <row r="548" spans="4:4" ht="15.75" customHeight="1" x14ac:dyDescent="0.15">
      <c r="D548" s="30"/>
    </row>
    <row r="549" spans="4:4" ht="15.75" customHeight="1" x14ac:dyDescent="0.15">
      <c r="D549" s="30"/>
    </row>
    <row r="550" spans="4:4" ht="15.75" customHeight="1" x14ac:dyDescent="0.15">
      <c r="D550" s="30"/>
    </row>
    <row r="551" spans="4:4" ht="15.75" customHeight="1" x14ac:dyDescent="0.15">
      <c r="D551" s="30"/>
    </row>
    <row r="552" spans="4:4" ht="15.75" customHeight="1" x14ac:dyDescent="0.15">
      <c r="D552" s="30"/>
    </row>
    <row r="553" spans="4:4" ht="15.75" customHeight="1" x14ac:dyDescent="0.15">
      <c r="D553" s="30"/>
    </row>
    <row r="554" spans="4:4" ht="15.75" customHeight="1" x14ac:dyDescent="0.15">
      <c r="D554" s="30"/>
    </row>
    <row r="555" spans="4:4" ht="15.75" customHeight="1" x14ac:dyDescent="0.15">
      <c r="D555" s="30"/>
    </row>
    <row r="556" spans="4:4" ht="15.75" customHeight="1" x14ac:dyDescent="0.15">
      <c r="D556" s="30"/>
    </row>
    <row r="557" spans="4:4" ht="15.75" customHeight="1" x14ac:dyDescent="0.15">
      <c r="D557" s="30"/>
    </row>
    <row r="558" spans="4:4" ht="15.75" customHeight="1" x14ac:dyDescent="0.15">
      <c r="D558" s="30"/>
    </row>
    <row r="559" spans="4:4" ht="15.75" customHeight="1" x14ac:dyDescent="0.15">
      <c r="D559" s="30"/>
    </row>
    <row r="560" spans="4:4" ht="15.75" customHeight="1" x14ac:dyDescent="0.15">
      <c r="D560" s="30"/>
    </row>
    <row r="561" spans="4:4" ht="15.75" customHeight="1" x14ac:dyDescent="0.15">
      <c r="D561" s="30"/>
    </row>
    <row r="562" spans="4:4" ht="15.75" customHeight="1" x14ac:dyDescent="0.15">
      <c r="D562" s="30"/>
    </row>
    <row r="563" spans="4:4" ht="15.75" customHeight="1" x14ac:dyDescent="0.15">
      <c r="D563" s="30"/>
    </row>
    <row r="564" spans="4:4" ht="15.75" customHeight="1" x14ac:dyDescent="0.15">
      <c r="D564" s="30"/>
    </row>
    <row r="565" spans="4:4" ht="15.75" customHeight="1" x14ac:dyDescent="0.15">
      <c r="D565" s="30"/>
    </row>
    <row r="566" spans="4:4" ht="15.75" customHeight="1" x14ac:dyDescent="0.15">
      <c r="D566" s="30"/>
    </row>
    <row r="567" spans="4:4" ht="15.75" customHeight="1" x14ac:dyDescent="0.15">
      <c r="D567" s="30"/>
    </row>
    <row r="568" spans="4:4" ht="15.75" customHeight="1" x14ac:dyDescent="0.15">
      <c r="D568" s="30"/>
    </row>
    <row r="569" spans="4:4" ht="15.75" customHeight="1" x14ac:dyDescent="0.15">
      <c r="D569" s="30"/>
    </row>
    <row r="570" spans="4:4" ht="15.75" customHeight="1" x14ac:dyDescent="0.15">
      <c r="D570" s="30"/>
    </row>
    <row r="571" spans="4:4" ht="15.75" customHeight="1" x14ac:dyDescent="0.15">
      <c r="D571" s="30"/>
    </row>
    <row r="572" spans="4:4" ht="15.75" customHeight="1" x14ac:dyDescent="0.15">
      <c r="D572" s="30"/>
    </row>
    <row r="573" spans="4:4" ht="15.75" customHeight="1" x14ac:dyDescent="0.15">
      <c r="D573" s="30"/>
    </row>
    <row r="574" spans="4:4" ht="15.75" customHeight="1" x14ac:dyDescent="0.15">
      <c r="D574" s="30"/>
    </row>
    <row r="575" spans="4:4" ht="15.75" customHeight="1" x14ac:dyDescent="0.15">
      <c r="D575" s="30"/>
    </row>
    <row r="576" spans="4:4" ht="15.75" customHeight="1" x14ac:dyDescent="0.15">
      <c r="D576" s="30"/>
    </row>
    <row r="577" spans="4:4" ht="15.75" customHeight="1" x14ac:dyDescent="0.15">
      <c r="D577" s="30"/>
    </row>
    <row r="578" spans="4:4" ht="15.75" customHeight="1" x14ac:dyDescent="0.15">
      <c r="D578" s="30"/>
    </row>
    <row r="579" spans="4:4" ht="15.75" customHeight="1" x14ac:dyDescent="0.15">
      <c r="D579" s="30"/>
    </row>
    <row r="580" spans="4:4" ht="15.75" customHeight="1" x14ac:dyDescent="0.15">
      <c r="D580" s="30"/>
    </row>
    <row r="581" spans="4:4" ht="15.75" customHeight="1" x14ac:dyDescent="0.15">
      <c r="D581" s="30"/>
    </row>
    <row r="582" spans="4:4" ht="15.75" customHeight="1" x14ac:dyDescent="0.15">
      <c r="D582" s="30"/>
    </row>
    <row r="583" spans="4:4" ht="15.75" customHeight="1" x14ac:dyDescent="0.15">
      <c r="D583" s="30"/>
    </row>
    <row r="584" spans="4:4" ht="15.75" customHeight="1" x14ac:dyDescent="0.15">
      <c r="D584" s="30"/>
    </row>
    <row r="585" spans="4:4" ht="15.75" customHeight="1" x14ac:dyDescent="0.15">
      <c r="D585" s="30"/>
    </row>
    <row r="586" spans="4:4" ht="15.75" customHeight="1" x14ac:dyDescent="0.15">
      <c r="D586" s="30"/>
    </row>
    <row r="587" spans="4:4" ht="15.75" customHeight="1" x14ac:dyDescent="0.15">
      <c r="D587" s="30"/>
    </row>
    <row r="588" spans="4:4" ht="15.75" customHeight="1" x14ac:dyDescent="0.15">
      <c r="D588" s="30"/>
    </row>
    <row r="589" spans="4:4" ht="15.75" customHeight="1" x14ac:dyDescent="0.15">
      <c r="D589" s="30"/>
    </row>
    <row r="590" spans="4:4" ht="15.75" customHeight="1" x14ac:dyDescent="0.15">
      <c r="D590" s="30"/>
    </row>
    <row r="591" spans="4:4" ht="15.75" customHeight="1" x14ac:dyDescent="0.15">
      <c r="D591" s="30"/>
    </row>
    <row r="592" spans="4:4" ht="15.75" customHeight="1" x14ac:dyDescent="0.15">
      <c r="D592" s="30"/>
    </row>
    <row r="593" spans="4:4" ht="15.75" customHeight="1" x14ac:dyDescent="0.15">
      <c r="D593" s="30"/>
    </row>
    <row r="594" spans="4:4" ht="15.75" customHeight="1" x14ac:dyDescent="0.15">
      <c r="D594" s="30"/>
    </row>
    <row r="595" spans="4:4" ht="15.75" customHeight="1" x14ac:dyDescent="0.15">
      <c r="D595" s="30"/>
    </row>
    <row r="596" spans="4:4" ht="15.75" customHeight="1" x14ac:dyDescent="0.15">
      <c r="D596" s="30"/>
    </row>
    <row r="597" spans="4:4" ht="15.75" customHeight="1" x14ac:dyDescent="0.15">
      <c r="D597" s="30"/>
    </row>
    <row r="598" spans="4:4" ht="15.75" customHeight="1" x14ac:dyDescent="0.15">
      <c r="D598" s="30"/>
    </row>
    <row r="599" spans="4:4" ht="15.75" customHeight="1" x14ac:dyDescent="0.15">
      <c r="D599" s="30"/>
    </row>
    <row r="600" spans="4:4" ht="15.75" customHeight="1" x14ac:dyDescent="0.15">
      <c r="D600" s="30"/>
    </row>
    <row r="601" spans="4:4" ht="15.75" customHeight="1" x14ac:dyDescent="0.15">
      <c r="D601" s="30"/>
    </row>
    <row r="602" spans="4:4" ht="15.75" customHeight="1" x14ac:dyDescent="0.15">
      <c r="D602" s="30"/>
    </row>
    <row r="603" spans="4:4" ht="15.75" customHeight="1" x14ac:dyDescent="0.15">
      <c r="D603" s="30"/>
    </row>
    <row r="604" spans="4:4" ht="15.75" customHeight="1" x14ac:dyDescent="0.15">
      <c r="D604" s="30"/>
    </row>
    <row r="605" spans="4:4" ht="15.75" customHeight="1" x14ac:dyDescent="0.15">
      <c r="D605" s="30"/>
    </row>
    <row r="606" spans="4:4" ht="15.75" customHeight="1" x14ac:dyDescent="0.15">
      <c r="D606" s="30"/>
    </row>
    <row r="607" spans="4:4" ht="15.75" customHeight="1" x14ac:dyDescent="0.15">
      <c r="D607" s="30"/>
    </row>
    <row r="608" spans="4:4" ht="15.75" customHeight="1" x14ac:dyDescent="0.15">
      <c r="D608" s="30"/>
    </row>
    <row r="609" spans="4:4" ht="15.75" customHeight="1" x14ac:dyDescent="0.15">
      <c r="D609" s="30"/>
    </row>
    <row r="610" spans="4:4" ht="15.75" customHeight="1" x14ac:dyDescent="0.15">
      <c r="D610" s="30"/>
    </row>
    <row r="611" spans="4:4" ht="15.75" customHeight="1" x14ac:dyDescent="0.15">
      <c r="D611" s="30"/>
    </row>
    <row r="612" spans="4:4" ht="15.75" customHeight="1" x14ac:dyDescent="0.15">
      <c r="D612" s="30"/>
    </row>
    <row r="613" spans="4:4" ht="15.75" customHeight="1" x14ac:dyDescent="0.15">
      <c r="D613" s="30"/>
    </row>
    <row r="614" spans="4:4" ht="15.75" customHeight="1" x14ac:dyDescent="0.15">
      <c r="D614" s="30"/>
    </row>
    <row r="615" spans="4:4" ht="15.75" customHeight="1" x14ac:dyDescent="0.15">
      <c r="D615" s="30"/>
    </row>
    <row r="616" spans="4:4" ht="15.75" customHeight="1" x14ac:dyDescent="0.15">
      <c r="D616" s="30"/>
    </row>
    <row r="617" spans="4:4" ht="15.75" customHeight="1" x14ac:dyDescent="0.15">
      <c r="D617" s="30"/>
    </row>
    <row r="618" spans="4:4" ht="15.75" customHeight="1" x14ac:dyDescent="0.15">
      <c r="D618" s="30"/>
    </row>
    <row r="619" spans="4:4" ht="15.75" customHeight="1" x14ac:dyDescent="0.15">
      <c r="D619" s="30"/>
    </row>
    <row r="620" spans="4:4" ht="15.75" customHeight="1" x14ac:dyDescent="0.15">
      <c r="D620" s="30"/>
    </row>
    <row r="621" spans="4:4" ht="15.75" customHeight="1" x14ac:dyDescent="0.15">
      <c r="D621" s="30"/>
    </row>
    <row r="622" spans="4:4" ht="15.75" customHeight="1" x14ac:dyDescent="0.15">
      <c r="D622" s="30"/>
    </row>
    <row r="623" spans="4:4" ht="15.75" customHeight="1" x14ac:dyDescent="0.15">
      <c r="D623" s="30"/>
    </row>
    <row r="624" spans="4:4" ht="15.75" customHeight="1" x14ac:dyDescent="0.15">
      <c r="D624" s="30"/>
    </row>
    <row r="625" spans="4:4" ht="15.75" customHeight="1" x14ac:dyDescent="0.15">
      <c r="D625" s="30"/>
    </row>
    <row r="626" spans="4:4" ht="15.75" customHeight="1" x14ac:dyDescent="0.15">
      <c r="D626" s="30"/>
    </row>
    <row r="627" spans="4:4" ht="15.75" customHeight="1" x14ac:dyDescent="0.15">
      <c r="D627" s="30"/>
    </row>
    <row r="628" spans="4:4" ht="15.75" customHeight="1" x14ac:dyDescent="0.15">
      <c r="D628" s="30"/>
    </row>
    <row r="629" spans="4:4" ht="15.75" customHeight="1" x14ac:dyDescent="0.15">
      <c r="D629" s="30"/>
    </row>
    <row r="630" spans="4:4" ht="15.75" customHeight="1" x14ac:dyDescent="0.15">
      <c r="D630" s="30"/>
    </row>
    <row r="631" spans="4:4" ht="15.75" customHeight="1" x14ac:dyDescent="0.15">
      <c r="D631" s="30"/>
    </row>
    <row r="632" spans="4:4" ht="15.75" customHeight="1" x14ac:dyDescent="0.15">
      <c r="D632" s="30"/>
    </row>
    <row r="633" spans="4:4" ht="15.75" customHeight="1" x14ac:dyDescent="0.15">
      <c r="D633" s="30"/>
    </row>
    <row r="634" spans="4:4" ht="15.75" customHeight="1" x14ac:dyDescent="0.15">
      <c r="D634" s="30"/>
    </row>
    <row r="635" spans="4:4" ht="15.75" customHeight="1" x14ac:dyDescent="0.15">
      <c r="D635" s="30"/>
    </row>
    <row r="636" spans="4:4" ht="15.75" customHeight="1" x14ac:dyDescent="0.15">
      <c r="D636" s="30"/>
    </row>
    <row r="637" spans="4:4" ht="15.75" customHeight="1" x14ac:dyDescent="0.15">
      <c r="D637" s="30"/>
    </row>
    <row r="638" spans="4:4" ht="15.75" customHeight="1" x14ac:dyDescent="0.15">
      <c r="D638" s="30"/>
    </row>
    <row r="639" spans="4:4" ht="15.75" customHeight="1" x14ac:dyDescent="0.15">
      <c r="D639" s="30"/>
    </row>
    <row r="640" spans="4:4" ht="15.75" customHeight="1" x14ac:dyDescent="0.15">
      <c r="D640" s="30"/>
    </row>
    <row r="641" spans="4:4" ht="15.75" customHeight="1" x14ac:dyDescent="0.15">
      <c r="D641" s="30"/>
    </row>
    <row r="642" spans="4:4" ht="15.75" customHeight="1" x14ac:dyDescent="0.15">
      <c r="D642" s="30"/>
    </row>
    <row r="643" spans="4:4" ht="15.75" customHeight="1" x14ac:dyDescent="0.15">
      <c r="D643" s="30"/>
    </row>
    <row r="644" spans="4:4" ht="15.75" customHeight="1" x14ac:dyDescent="0.15">
      <c r="D644" s="30"/>
    </row>
    <row r="645" spans="4:4" ht="15.75" customHeight="1" x14ac:dyDescent="0.15">
      <c r="D645" s="30"/>
    </row>
    <row r="646" spans="4:4" ht="15.75" customHeight="1" x14ac:dyDescent="0.15">
      <c r="D646" s="30"/>
    </row>
    <row r="647" spans="4:4" ht="15.75" customHeight="1" x14ac:dyDescent="0.15">
      <c r="D647" s="30"/>
    </row>
    <row r="648" spans="4:4" ht="15.75" customHeight="1" x14ac:dyDescent="0.15">
      <c r="D648" s="30"/>
    </row>
    <row r="649" spans="4:4" ht="15.75" customHeight="1" x14ac:dyDescent="0.15">
      <c r="D649" s="30"/>
    </row>
    <row r="650" spans="4:4" ht="15.75" customHeight="1" x14ac:dyDescent="0.15">
      <c r="D650" s="30"/>
    </row>
    <row r="651" spans="4:4" ht="15.75" customHeight="1" x14ac:dyDescent="0.15">
      <c r="D651" s="30"/>
    </row>
    <row r="652" spans="4:4" ht="15.75" customHeight="1" x14ac:dyDescent="0.15">
      <c r="D652" s="30"/>
    </row>
    <row r="653" spans="4:4" ht="15.75" customHeight="1" x14ac:dyDescent="0.15">
      <c r="D653" s="30"/>
    </row>
    <row r="654" spans="4:4" ht="15.75" customHeight="1" x14ac:dyDescent="0.15">
      <c r="D654" s="30"/>
    </row>
    <row r="655" spans="4:4" ht="15.75" customHeight="1" x14ac:dyDescent="0.15">
      <c r="D655" s="30"/>
    </row>
    <row r="656" spans="4:4" ht="15.75" customHeight="1" x14ac:dyDescent="0.15">
      <c r="D656" s="30"/>
    </row>
    <row r="657" spans="4:4" ht="15.75" customHeight="1" x14ac:dyDescent="0.15">
      <c r="D657" s="30"/>
    </row>
    <row r="658" spans="4:4" ht="15.75" customHeight="1" x14ac:dyDescent="0.15">
      <c r="D658" s="30"/>
    </row>
    <row r="659" spans="4:4" ht="15.75" customHeight="1" x14ac:dyDescent="0.15">
      <c r="D659" s="30"/>
    </row>
    <row r="660" spans="4:4" ht="15.75" customHeight="1" x14ac:dyDescent="0.15">
      <c r="D660" s="30"/>
    </row>
    <row r="661" spans="4:4" ht="15.75" customHeight="1" x14ac:dyDescent="0.15">
      <c r="D661" s="30"/>
    </row>
    <row r="662" spans="4:4" ht="15.75" customHeight="1" x14ac:dyDescent="0.15">
      <c r="D662" s="30"/>
    </row>
    <row r="663" spans="4:4" ht="15.75" customHeight="1" x14ac:dyDescent="0.15">
      <c r="D663" s="30"/>
    </row>
    <row r="664" spans="4:4" ht="15.75" customHeight="1" x14ac:dyDescent="0.15">
      <c r="D664" s="30"/>
    </row>
    <row r="665" spans="4:4" ht="15.75" customHeight="1" x14ac:dyDescent="0.15">
      <c r="D665" s="30"/>
    </row>
    <row r="666" spans="4:4" ht="15.75" customHeight="1" x14ac:dyDescent="0.15">
      <c r="D666" s="30"/>
    </row>
    <row r="667" spans="4:4" ht="15.75" customHeight="1" x14ac:dyDescent="0.15">
      <c r="D667" s="30"/>
    </row>
    <row r="668" spans="4:4" ht="15.75" customHeight="1" x14ac:dyDescent="0.15">
      <c r="D668" s="30"/>
    </row>
    <row r="669" spans="4:4" ht="15.75" customHeight="1" x14ac:dyDescent="0.15">
      <c r="D669" s="30"/>
    </row>
    <row r="670" spans="4:4" ht="15.75" customHeight="1" x14ac:dyDescent="0.15">
      <c r="D670" s="30"/>
    </row>
    <row r="671" spans="4:4" ht="15.75" customHeight="1" x14ac:dyDescent="0.15">
      <c r="D671" s="30"/>
    </row>
    <row r="672" spans="4:4" ht="15.75" customHeight="1" x14ac:dyDescent="0.15">
      <c r="D672" s="30"/>
    </row>
    <row r="673" spans="4:4" ht="15.75" customHeight="1" x14ac:dyDescent="0.15">
      <c r="D673" s="30"/>
    </row>
    <row r="674" spans="4:4" ht="15.75" customHeight="1" x14ac:dyDescent="0.15">
      <c r="D674" s="30"/>
    </row>
    <row r="675" spans="4:4" ht="15.75" customHeight="1" x14ac:dyDescent="0.15">
      <c r="D675" s="30"/>
    </row>
    <row r="676" spans="4:4" ht="15.75" customHeight="1" x14ac:dyDescent="0.15">
      <c r="D676" s="30"/>
    </row>
    <row r="677" spans="4:4" ht="15.75" customHeight="1" x14ac:dyDescent="0.15">
      <c r="D677" s="30"/>
    </row>
    <row r="678" spans="4:4" ht="15.75" customHeight="1" x14ac:dyDescent="0.15">
      <c r="D678" s="30"/>
    </row>
    <row r="679" spans="4:4" ht="15.75" customHeight="1" x14ac:dyDescent="0.15">
      <c r="D679" s="30"/>
    </row>
    <row r="680" spans="4:4" ht="15.75" customHeight="1" x14ac:dyDescent="0.15">
      <c r="D680" s="30"/>
    </row>
    <row r="681" spans="4:4" ht="15.75" customHeight="1" x14ac:dyDescent="0.15">
      <c r="D681" s="30"/>
    </row>
    <row r="682" spans="4:4" ht="15.75" customHeight="1" x14ac:dyDescent="0.15">
      <c r="D682" s="30"/>
    </row>
    <row r="683" spans="4:4" ht="15.75" customHeight="1" x14ac:dyDescent="0.15">
      <c r="D683" s="30"/>
    </row>
    <row r="684" spans="4:4" ht="15.75" customHeight="1" x14ac:dyDescent="0.15">
      <c r="D684" s="30"/>
    </row>
    <row r="685" spans="4:4" ht="15.75" customHeight="1" x14ac:dyDescent="0.15">
      <c r="D685" s="30"/>
    </row>
    <row r="686" spans="4:4" ht="15.75" customHeight="1" x14ac:dyDescent="0.15">
      <c r="D686" s="30"/>
    </row>
    <row r="687" spans="4:4" ht="15.75" customHeight="1" x14ac:dyDescent="0.15">
      <c r="D687" s="30"/>
    </row>
    <row r="688" spans="4:4" ht="15.75" customHeight="1" x14ac:dyDescent="0.15">
      <c r="D688" s="30"/>
    </row>
    <row r="689" spans="4:4" ht="15.75" customHeight="1" x14ac:dyDescent="0.15">
      <c r="D689" s="30"/>
    </row>
    <row r="690" spans="4:4" ht="15.75" customHeight="1" x14ac:dyDescent="0.15">
      <c r="D690" s="30"/>
    </row>
    <row r="691" spans="4:4" ht="15.75" customHeight="1" x14ac:dyDescent="0.15">
      <c r="D691" s="30"/>
    </row>
    <row r="692" spans="4:4" ht="15.75" customHeight="1" x14ac:dyDescent="0.15">
      <c r="D692" s="30"/>
    </row>
    <row r="693" spans="4:4" ht="15.75" customHeight="1" x14ac:dyDescent="0.15">
      <c r="D693" s="30"/>
    </row>
    <row r="694" spans="4:4" ht="15.75" customHeight="1" x14ac:dyDescent="0.15">
      <c r="D694" s="30"/>
    </row>
    <row r="695" spans="4:4" ht="15.75" customHeight="1" x14ac:dyDescent="0.15">
      <c r="D695" s="30"/>
    </row>
    <row r="696" spans="4:4" ht="15.75" customHeight="1" x14ac:dyDescent="0.15">
      <c r="D696" s="30"/>
    </row>
    <row r="697" spans="4:4" ht="15.75" customHeight="1" x14ac:dyDescent="0.15">
      <c r="D697" s="30"/>
    </row>
    <row r="698" spans="4:4" ht="15.75" customHeight="1" x14ac:dyDescent="0.15">
      <c r="D698" s="30"/>
    </row>
    <row r="699" spans="4:4" ht="15.75" customHeight="1" x14ac:dyDescent="0.15">
      <c r="D699" s="30"/>
    </row>
    <row r="700" spans="4:4" ht="15.75" customHeight="1" x14ac:dyDescent="0.15">
      <c r="D700" s="30"/>
    </row>
    <row r="701" spans="4:4" ht="15.75" customHeight="1" x14ac:dyDescent="0.15">
      <c r="D701" s="30"/>
    </row>
    <row r="702" spans="4:4" ht="15.75" customHeight="1" x14ac:dyDescent="0.15">
      <c r="D702" s="30"/>
    </row>
    <row r="703" spans="4:4" ht="15.75" customHeight="1" x14ac:dyDescent="0.15">
      <c r="D703" s="30"/>
    </row>
    <row r="704" spans="4:4" ht="15.75" customHeight="1" x14ac:dyDescent="0.15">
      <c r="D704" s="30"/>
    </row>
    <row r="705" spans="4:4" ht="15.75" customHeight="1" x14ac:dyDescent="0.15">
      <c r="D705" s="30"/>
    </row>
    <row r="706" spans="4:4" ht="15.75" customHeight="1" x14ac:dyDescent="0.15">
      <c r="D706" s="30"/>
    </row>
    <row r="707" spans="4:4" ht="15.75" customHeight="1" x14ac:dyDescent="0.15">
      <c r="D707" s="30"/>
    </row>
    <row r="708" spans="4:4" ht="15.75" customHeight="1" x14ac:dyDescent="0.15">
      <c r="D708" s="30"/>
    </row>
    <row r="709" spans="4:4" ht="15.75" customHeight="1" x14ac:dyDescent="0.15">
      <c r="D709" s="30"/>
    </row>
    <row r="710" spans="4:4" ht="15.75" customHeight="1" x14ac:dyDescent="0.15">
      <c r="D710" s="30"/>
    </row>
    <row r="711" spans="4:4" ht="15.75" customHeight="1" x14ac:dyDescent="0.15">
      <c r="D711" s="30"/>
    </row>
    <row r="712" spans="4:4" ht="15.75" customHeight="1" x14ac:dyDescent="0.15">
      <c r="D712" s="30"/>
    </row>
    <row r="713" spans="4:4" ht="15.75" customHeight="1" x14ac:dyDescent="0.15">
      <c r="D713" s="30"/>
    </row>
    <row r="714" spans="4:4" ht="15.75" customHeight="1" x14ac:dyDescent="0.15">
      <c r="D714" s="30"/>
    </row>
    <row r="715" spans="4:4" ht="15.75" customHeight="1" x14ac:dyDescent="0.15">
      <c r="D715" s="30"/>
    </row>
    <row r="716" spans="4:4" ht="15.75" customHeight="1" x14ac:dyDescent="0.15">
      <c r="D716" s="30"/>
    </row>
    <row r="717" spans="4:4" ht="15.75" customHeight="1" x14ac:dyDescent="0.15">
      <c r="D717" s="30"/>
    </row>
    <row r="718" spans="4:4" ht="15.75" customHeight="1" x14ac:dyDescent="0.15">
      <c r="D718" s="30"/>
    </row>
    <row r="719" spans="4:4" ht="15.75" customHeight="1" x14ac:dyDescent="0.15">
      <c r="D719" s="30"/>
    </row>
    <row r="720" spans="4:4" ht="15.75" customHeight="1" x14ac:dyDescent="0.15">
      <c r="D720" s="30"/>
    </row>
    <row r="721" spans="4:4" ht="15.75" customHeight="1" x14ac:dyDescent="0.15">
      <c r="D721" s="30"/>
    </row>
    <row r="722" spans="4:4" ht="15.75" customHeight="1" x14ac:dyDescent="0.15">
      <c r="D722" s="30"/>
    </row>
    <row r="723" spans="4:4" ht="15.75" customHeight="1" x14ac:dyDescent="0.15">
      <c r="D723" s="30"/>
    </row>
    <row r="724" spans="4:4" ht="15.75" customHeight="1" x14ac:dyDescent="0.15">
      <c r="D724" s="30"/>
    </row>
    <row r="725" spans="4:4" ht="15.75" customHeight="1" x14ac:dyDescent="0.15">
      <c r="D725" s="30"/>
    </row>
    <row r="726" spans="4:4" ht="15.75" customHeight="1" x14ac:dyDescent="0.15">
      <c r="D726" s="30"/>
    </row>
    <row r="727" spans="4:4" ht="15.75" customHeight="1" x14ac:dyDescent="0.15">
      <c r="D727" s="30"/>
    </row>
    <row r="728" spans="4:4" ht="15.75" customHeight="1" x14ac:dyDescent="0.15">
      <c r="D728" s="30"/>
    </row>
    <row r="729" spans="4:4" ht="15.75" customHeight="1" x14ac:dyDescent="0.15">
      <c r="D729" s="30"/>
    </row>
    <row r="730" spans="4:4" ht="15.75" customHeight="1" x14ac:dyDescent="0.15">
      <c r="D730" s="30"/>
    </row>
    <row r="731" spans="4:4" ht="15.75" customHeight="1" x14ac:dyDescent="0.15">
      <c r="D731" s="30"/>
    </row>
    <row r="732" spans="4:4" ht="15.75" customHeight="1" x14ac:dyDescent="0.15">
      <c r="D732" s="30"/>
    </row>
    <row r="733" spans="4:4" ht="15.75" customHeight="1" x14ac:dyDescent="0.15">
      <c r="D733" s="30"/>
    </row>
    <row r="734" spans="4:4" ht="15.75" customHeight="1" x14ac:dyDescent="0.15">
      <c r="D734" s="30"/>
    </row>
    <row r="735" spans="4:4" ht="15.75" customHeight="1" x14ac:dyDescent="0.15">
      <c r="D735" s="30"/>
    </row>
    <row r="736" spans="4:4" ht="15.75" customHeight="1" x14ac:dyDescent="0.15">
      <c r="D736" s="30"/>
    </row>
    <row r="737" spans="4:4" ht="15.75" customHeight="1" x14ac:dyDescent="0.15">
      <c r="D737" s="30"/>
    </row>
    <row r="738" spans="4:4" ht="15.75" customHeight="1" x14ac:dyDescent="0.15">
      <c r="D738" s="30"/>
    </row>
    <row r="739" spans="4:4" ht="15.75" customHeight="1" x14ac:dyDescent="0.15">
      <c r="D739" s="30"/>
    </row>
    <row r="740" spans="4:4" ht="15.75" customHeight="1" x14ac:dyDescent="0.15">
      <c r="D740" s="30"/>
    </row>
    <row r="741" spans="4:4" ht="15.75" customHeight="1" x14ac:dyDescent="0.15">
      <c r="D741" s="30"/>
    </row>
    <row r="742" spans="4:4" ht="15.75" customHeight="1" x14ac:dyDescent="0.15">
      <c r="D742" s="30"/>
    </row>
    <row r="743" spans="4:4" ht="15.75" customHeight="1" x14ac:dyDescent="0.15">
      <c r="D743" s="30"/>
    </row>
    <row r="744" spans="4:4" ht="15.75" customHeight="1" x14ac:dyDescent="0.15">
      <c r="D744" s="30"/>
    </row>
    <row r="745" spans="4:4" ht="15.75" customHeight="1" x14ac:dyDescent="0.15">
      <c r="D745" s="30"/>
    </row>
    <row r="746" spans="4:4" ht="15.75" customHeight="1" x14ac:dyDescent="0.15">
      <c r="D746" s="30"/>
    </row>
    <row r="747" spans="4:4" ht="15.75" customHeight="1" x14ac:dyDescent="0.15">
      <c r="D747" s="30"/>
    </row>
    <row r="748" spans="4:4" ht="15.75" customHeight="1" x14ac:dyDescent="0.15">
      <c r="D748" s="30"/>
    </row>
    <row r="749" spans="4:4" ht="15.75" customHeight="1" x14ac:dyDescent="0.15">
      <c r="D749" s="30"/>
    </row>
    <row r="750" spans="4:4" ht="15.75" customHeight="1" x14ac:dyDescent="0.15">
      <c r="D750" s="30"/>
    </row>
    <row r="751" spans="4:4" ht="15.75" customHeight="1" x14ac:dyDescent="0.15">
      <c r="D751" s="30"/>
    </row>
    <row r="752" spans="4:4" ht="15.75" customHeight="1" x14ac:dyDescent="0.15">
      <c r="D752" s="30"/>
    </row>
    <row r="753" spans="4:4" ht="15.75" customHeight="1" x14ac:dyDescent="0.15">
      <c r="D753" s="30"/>
    </row>
    <row r="754" spans="4:4" ht="15.75" customHeight="1" x14ac:dyDescent="0.15">
      <c r="D754" s="30"/>
    </row>
    <row r="755" spans="4:4" ht="15.75" customHeight="1" x14ac:dyDescent="0.15">
      <c r="D755" s="30"/>
    </row>
    <row r="756" spans="4:4" ht="15.75" customHeight="1" x14ac:dyDescent="0.15">
      <c r="D756" s="30"/>
    </row>
    <row r="757" spans="4:4" ht="15.75" customHeight="1" x14ac:dyDescent="0.15">
      <c r="D757" s="30"/>
    </row>
    <row r="758" spans="4:4" ht="15.75" customHeight="1" x14ac:dyDescent="0.15">
      <c r="D758" s="30"/>
    </row>
    <row r="759" spans="4:4" ht="15.75" customHeight="1" x14ac:dyDescent="0.15">
      <c r="D759" s="30"/>
    </row>
    <row r="760" spans="4:4" ht="15.75" customHeight="1" x14ac:dyDescent="0.15">
      <c r="D760" s="30"/>
    </row>
    <row r="761" spans="4:4" ht="15.75" customHeight="1" x14ac:dyDescent="0.15">
      <c r="D761" s="30"/>
    </row>
    <row r="762" spans="4:4" ht="15.75" customHeight="1" x14ac:dyDescent="0.15">
      <c r="D762" s="30"/>
    </row>
    <row r="763" spans="4:4" ht="15.75" customHeight="1" x14ac:dyDescent="0.15">
      <c r="D763" s="30"/>
    </row>
    <row r="764" spans="4:4" ht="15.75" customHeight="1" x14ac:dyDescent="0.15">
      <c r="D764" s="30"/>
    </row>
    <row r="765" spans="4:4" ht="15.75" customHeight="1" x14ac:dyDescent="0.15">
      <c r="D765" s="30"/>
    </row>
    <row r="766" spans="4:4" ht="15.75" customHeight="1" x14ac:dyDescent="0.15">
      <c r="D766" s="30"/>
    </row>
    <row r="767" spans="4:4" ht="15.75" customHeight="1" x14ac:dyDescent="0.15">
      <c r="D767" s="30"/>
    </row>
    <row r="768" spans="4:4" ht="15.75" customHeight="1" x14ac:dyDescent="0.15">
      <c r="D768" s="30"/>
    </row>
    <row r="769" spans="4:4" ht="15.75" customHeight="1" x14ac:dyDescent="0.15">
      <c r="D769" s="30"/>
    </row>
    <row r="770" spans="4:4" ht="15.75" customHeight="1" x14ac:dyDescent="0.15">
      <c r="D770" s="30"/>
    </row>
    <row r="771" spans="4:4" ht="15.75" customHeight="1" x14ac:dyDescent="0.15">
      <c r="D771" s="30"/>
    </row>
    <row r="772" spans="4:4" ht="15.75" customHeight="1" x14ac:dyDescent="0.15">
      <c r="D772" s="30"/>
    </row>
    <row r="773" spans="4:4" ht="15.75" customHeight="1" x14ac:dyDescent="0.15">
      <c r="D773" s="30"/>
    </row>
    <row r="774" spans="4:4" ht="15.75" customHeight="1" x14ac:dyDescent="0.15">
      <c r="D774" s="30"/>
    </row>
    <row r="775" spans="4:4" ht="15.75" customHeight="1" x14ac:dyDescent="0.15">
      <c r="D775" s="30"/>
    </row>
    <row r="776" spans="4:4" ht="15.75" customHeight="1" x14ac:dyDescent="0.15">
      <c r="D776" s="30"/>
    </row>
    <row r="777" spans="4:4" ht="15.75" customHeight="1" x14ac:dyDescent="0.15">
      <c r="D777" s="30"/>
    </row>
    <row r="778" spans="4:4" ht="15.75" customHeight="1" x14ac:dyDescent="0.15">
      <c r="D778" s="30"/>
    </row>
    <row r="779" spans="4:4" ht="15.75" customHeight="1" x14ac:dyDescent="0.15">
      <c r="D779" s="30"/>
    </row>
    <row r="780" spans="4:4" ht="15.75" customHeight="1" x14ac:dyDescent="0.15">
      <c r="D780" s="30"/>
    </row>
    <row r="781" spans="4:4" ht="15.75" customHeight="1" x14ac:dyDescent="0.15">
      <c r="D781" s="30"/>
    </row>
    <row r="782" spans="4:4" ht="15.75" customHeight="1" x14ac:dyDescent="0.15">
      <c r="D782" s="30"/>
    </row>
    <row r="783" spans="4:4" ht="15.75" customHeight="1" x14ac:dyDescent="0.15">
      <c r="D783" s="30"/>
    </row>
    <row r="784" spans="4:4" ht="15.75" customHeight="1" x14ac:dyDescent="0.15">
      <c r="D784" s="30"/>
    </row>
    <row r="785" spans="4:4" ht="15.75" customHeight="1" x14ac:dyDescent="0.15">
      <c r="D785" s="30"/>
    </row>
    <row r="786" spans="4:4" ht="15.75" customHeight="1" x14ac:dyDescent="0.15">
      <c r="D786" s="30"/>
    </row>
    <row r="787" spans="4:4" ht="15.75" customHeight="1" x14ac:dyDescent="0.15">
      <c r="D787" s="30"/>
    </row>
    <row r="788" spans="4:4" ht="15.75" customHeight="1" x14ac:dyDescent="0.15">
      <c r="D788" s="30"/>
    </row>
    <row r="789" spans="4:4" ht="15.75" customHeight="1" x14ac:dyDescent="0.15">
      <c r="D789" s="30"/>
    </row>
    <row r="790" spans="4:4" ht="15.75" customHeight="1" x14ac:dyDescent="0.15">
      <c r="D790" s="30"/>
    </row>
    <row r="791" spans="4:4" ht="15.75" customHeight="1" x14ac:dyDescent="0.15">
      <c r="D791" s="30"/>
    </row>
    <row r="792" spans="4:4" ht="15.75" customHeight="1" x14ac:dyDescent="0.15">
      <c r="D792" s="30"/>
    </row>
    <row r="793" spans="4:4" ht="15.75" customHeight="1" x14ac:dyDescent="0.15">
      <c r="D793" s="30"/>
    </row>
    <row r="794" spans="4:4" ht="15.75" customHeight="1" x14ac:dyDescent="0.15">
      <c r="D794" s="30"/>
    </row>
    <row r="795" spans="4:4" ht="15.75" customHeight="1" x14ac:dyDescent="0.15">
      <c r="D795" s="30"/>
    </row>
    <row r="796" spans="4:4" ht="15.75" customHeight="1" x14ac:dyDescent="0.15">
      <c r="D796" s="30"/>
    </row>
    <row r="797" spans="4:4" ht="15.75" customHeight="1" x14ac:dyDescent="0.15">
      <c r="D797" s="30"/>
    </row>
    <row r="798" spans="4:4" ht="15.75" customHeight="1" x14ac:dyDescent="0.15">
      <c r="D798" s="30"/>
    </row>
    <row r="799" spans="4:4" ht="15.75" customHeight="1" x14ac:dyDescent="0.15">
      <c r="D799" s="30"/>
    </row>
    <row r="800" spans="4:4" ht="15.75" customHeight="1" x14ac:dyDescent="0.15">
      <c r="D800" s="30"/>
    </row>
    <row r="801" spans="4:4" ht="15.75" customHeight="1" x14ac:dyDescent="0.15">
      <c r="D801" s="30"/>
    </row>
    <row r="802" spans="4:4" ht="15.75" customHeight="1" x14ac:dyDescent="0.15">
      <c r="D802" s="30"/>
    </row>
    <row r="803" spans="4:4" ht="15.75" customHeight="1" x14ac:dyDescent="0.15">
      <c r="D803" s="30"/>
    </row>
    <row r="804" spans="4:4" ht="15.75" customHeight="1" x14ac:dyDescent="0.15">
      <c r="D804" s="30"/>
    </row>
    <row r="805" spans="4:4" ht="15.75" customHeight="1" x14ac:dyDescent="0.15">
      <c r="D805" s="30"/>
    </row>
    <row r="806" spans="4:4" ht="15.75" customHeight="1" x14ac:dyDescent="0.15">
      <c r="D806" s="30"/>
    </row>
    <row r="807" spans="4:4" ht="15.75" customHeight="1" x14ac:dyDescent="0.15">
      <c r="D807" s="30"/>
    </row>
    <row r="808" spans="4:4" ht="15.75" customHeight="1" x14ac:dyDescent="0.15">
      <c r="D808" s="30"/>
    </row>
    <row r="809" spans="4:4" ht="15.75" customHeight="1" x14ac:dyDescent="0.15">
      <c r="D809" s="30"/>
    </row>
    <row r="810" spans="4:4" ht="15.75" customHeight="1" x14ac:dyDescent="0.15">
      <c r="D810" s="30"/>
    </row>
    <row r="811" spans="4:4" ht="15.75" customHeight="1" x14ac:dyDescent="0.15">
      <c r="D811" s="30"/>
    </row>
    <row r="812" spans="4:4" ht="15.75" customHeight="1" x14ac:dyDescent="0.15">
      <c r="D812" s="30"/>
    </row>
    <row r="813" spans="4:4" ht="15.75" customHeight="1" x14ac:dyDescent="0.15">
      <c r="D813" s="30"/>
    </row>
    <row r="814" spans="4:4" ht="15.75" customHeight="1" x14ac:dyDescent="0.15">
      <c r="D814" s="30"/>
    </row>
    <row r="815" spans="4:4" ht="15.75" customHeight="1" x14ac:dyDescent="0.15">
      <c r="D815" s="30"/>
    </row>
    <row r="816" spans="4:4" ht="15.75" customHeight="1" x14ac:dyDescent="0.15">
      <c r="D816" s="30"/>
    </row>
    <row r="817" spans="4:4" ht="15.75" customHeight="1" x14ac:dyDescent="0.15">
      <c r="D817" s="30"/>
    </row>
    <row r="818" spans="4:4" ht="15.75" customHeight="1" x14ac:dyDescent="0.15">
      <c r="D818" s="30"/>
    </row>
    <row r="819" spans="4:4" ht="15.75" customHeight="1" x14ac:dyDescent="0.15">
      <c r="D819" s="30"/>
    </row>
    <row r="820" spans="4:4" ht="15.75" customHeight="1" x14ac:dyDescent="0.15">
      <c r="D820" s="30"/>
    </row>
    <row r="821" spans="4:4" ht="15.75" customHeight="1" x14ac:dyDescent="0.15">
      <c r="D821" s="30"/>
    </row>
    <row r="822" spans="4:4" ht="15.75" customHeight="1" x14ac:dyDescent="0.15">
      <c r="D822" s="30"/>
    </row>
    <row r="823" spans="4:4" ht="15.75" customHeight="1" x14ac:dyDescent="0.15">
      <c r="D823" s="30"/>
    </row>
    <row r="824" spans="4:4" ht="15.75" customHeight="1" x14ac:dyDescent="0.15">
      <c r="D824" s="30"/>
    </row>
    <row r="825" spans="4:4" ht="15.75" customHeight="1" x14ac:dyDescent="0.15">
      <c r="D825" s="30"/>
    </row>
    <row r="826" spans="4:4" ht="15.75" customHeight="1" x14ac:dyDescent="0.15">
      <c r="D826" s="30"/>
    </row>
    <row r="827" spans="4:4" ht="15.75" customHeight="1" x14ac:dyDescent="0.15">
      <c r="D827" s="30"/>
    </row>
    <row r="828" spans="4:4" ht="15.75" customHeight="1" x14ac:dyDescent="0.15">
      <c r="D828" s="30"/>
    </row>
    <row r="829" spans="4:4" ht="15.75" customHeight="1" x14ac:dyDescent="0.15">
      <c r="D829" s="30"/>
    </row>
    <row r="830" spans="4:4" ht="15.75" customHeight="1" x14ac:dyDescent="0.15">
      <c r="D830" s="30"/>
    </row>
    <row r="831" spans="4:4" ht="15.75" customHeight="1" x14ac:dyDescent="0.15">
      <c r="D831" s="30"/>
    </row>
    <row r="832" spans="4:4" ht="15.75" customHeight="1" x14ac:dyDescent="0.15">
      <c r="D832" s="30"/>
    </row>
    <row r="833" spans="4:4" ht="15.75" customHeight="1" x14ac:dyDescent="0.15">
      <c r="D833" s="30"/>
    </row>
    <row r="834" spans="4:4" ht="15.75" customHeight="1" x14ac:dyDescent="0.15">
      <c r="D834" s="30"/>
    </row>
    <row r="835" spans="4:4" ht="15.75" customHeight="1" x14ac:dyDescent="0.15">
      <c r="D835" s="30"/>
    </row>
    <row r="836" spans="4:4" ht="15.75" customHeight="1" x14ac:dyDescent="0.15">
      <c r="D836" s="30"/>
    </row>
    <row r="837" spans="4:4" ht="15.75" customHeight="1" x14ac:dyDescent="0.15">
      <c r="D837" s="30"/>
    </row>
    <row r="838" spans="4:4" ht="15.75" customHeight="1" x14ac:dyDescent="0.15">
      <c r="D838" s="30"/>
    </row>
    <row r="839" spans="4:4" ht="15.75" customHeight="1" x14ac:dyDescent="0.15">
      <c r="D839" s="30"/>
    </row>
    <row r="840" spans="4:4" ht="15.75" customHeight="1" x14ac:dyDescent="0.15">
      <c r="D840" s="30"/>
    </row>
    <row r="841" spans="4:4" ht="15.75" customHeight="1" x14ac:dyDescent="0.15">
      <c r="D841" s="30"/>
    </row>
    <row r="842" spans="4:4" ht="15.75" customHeight="1" x14ac:dyDescent="0.15">
      <c r="D842" s="30"/>
    </row>
    <row r="843" spans="4:4" ht="15.75" customHeight="1" x14ac:dyDescent="0.15">
      <c r="D843" s="30"/>
    </row>
    <row r="844" spans="4:4" ht="15.75" customHeight="1" x14ac:dyDescent="0.15">
      <c r="D844" s="30"/>
    </row>
    <row r="845" spans="4:4" ht="15.75" customHeight="1" x14ac:dyDescent="0.15">
      <c r="D845" s="30"/>
    </row>
    <row r="846" spans="4:4" ht="15.75" customHeight="1" x14ac:dyDescent="0.15">
      <c r="D846" s="30"/>
    </row>
    <row r="847" spans="4:4" ht="15.75" customHeight="1" x14ac:dyDescent="0.15">
      <c r="D847" s="30"/>
    </row>
    <row r="848" spans="4:4" ht="15.75" customHeight="1" x14ac:dyDescent="0.15">
      <c r="D848" s="30"/>
    </row>
    <row r="849" spans="4:4" ht="15.75" customHeight="1" x14ac:dyDescent="0.15">
      <c r="D849" s="30"/>
    </row>
    <row r="850" spans="4:4" ht="15.75" customHeight="1" x14ac:dyDescent="0.15">
      <c r="D850" s="30"/>
    </row>
    <row r="851" spans="4:4" ht="15.75" customHeight="1" x14ac:dyDescent="0.15">
      <c r="D851" s="30"/>
    </row>
    <row r="852" spans="4:4" ht="15.75" customHeight="1" x14ac:dyDescent="0.15">
      <c r="D852" s="30"/>
    </row>
    <row r="853" spans="4:4" ht="15.75" customHeight="1" x14ac:dyDescent="0.15">
      <c r="D853" s="30"/>
    </row>
    <row r="854" spans="4:4" ht="15.75" customHeight="1" x14ac:dyDescent="0.15">
      <c r="D854" s="30"/>
    </row>
    <row r="855" spans="4:4" ht="15.75" customHeight="1" x14ac:dyDescent="0.15">
      <c r="D855" s="30"/>
    </row>
    <row r="856" spans="4:4" ht="15.75" customHeight="1" x14ac:dyDescent="0.15">
      <c r="D856" s="30"/>
    </row>
    <row r="857" spans="4:4" ht="15.75" customHeight="1" x14ac:dyDescent="0.15">
      <c r="D857" s="30"/>
    </row>
    <row r="858" spans="4:4" ht="15.75" customHeight="1" x14ac:dyDescent="0.15">
      <c r="D858" s="30"/>
    </row>
    <row r="859" spans="4:4" ht="15.75" customHeight="1" x14ac:dyDescent="0.15">
      <c r="D859" s="30"/>
    </row>
    <row r="860" spans="4:4" ht="15.75" customHeight="1" x14ac:dyDescent="0.15">
      <c r="D860" s="30"/>
    </row>
    <row r="861" spans="4:4" ht="15.75" customHeight="1" x14ac:dyDescent="0.15">
      <c r="D861" s="30"/>
    </row>
    <row r="862" spans="4:4" ht="15.75" customHeight="1" x14ac:dyDescent="0.15">
      <c r="D862" s="30"/>
    </row>
    <row r="863" spans="4:4" ht="15.75" customHeight="1" x14ac:dyDescent="0.15">
      <c r="D863" s="30"/>
    </row>
    <row r="864" spans="4:4" ht="15.75" customHeight="1" x14ac:dyDescent="0.15">
      <c r="D864" s="30"/>
    </row>
    <row r="865" spans="4:4" ht="15.75" customHeight="1" x14ac:dyDescent="0.15">
      <c r="D865" s="30"/>
    </row>
    <row r="866" spans="4:4" ht="15.75" customHeight="1" x14ac:dyDescent="0.15">
      <c r="D866" s="30"/>
    </row>
    <row r="867" spans="4:4" ht="15.75" customHeight="1" x14ac:dyDescent="0.15">
      <c r="D867" s="30"/>
    </row>
    <row r="868" spans="4:4" ht="15.75" customHeight="1" x14ac:dyDescent="0.15">
      <c r="D868" s="30"/>
    </row>
    <row r="869" spans="4:4" ht="15.75" customHeight="1" x14ac:dyDescent="0.15">
      <c r="D869" s="30"/>
    </row>
    <row r="870" spans="4:4" ht="15.75" customHeight="1" x14ac:dyDescent="0.15">
      <c r="D870" s="30"/>
    </row>
    <row r="871" spans="4:4" ht="15.75" customHeight="1" x14ac:dyDescent="0.15">
      <c r="D871" s="30"/>
    </row>
    <row r="872" spans="4:4" ht="15.75" customHeight="1" x14ac:dyDescent="0.15">
      <c r="D872" s="30"/>
    </row>
    <row r="873" spans="4:4" ht="15.75" customHeight="1" x14ac:dyDescent="0.15">
      <c r="D873" s="30"/>
    </row>
    <row r="874" spans="4:4" ht="15.75" customHeight="1" x14ac:dyDescent="0.15">
      <c r="D874" s="30"/>
    </row>
    <row r="875" spans="4:4" ht="15.75" customHeight="1" x14ac:dyDescent="0.15">
      <c r="D875" s="30"/>
    </row>
    <row r="876" spans="4:4" ht="15.75" customHeight="1" x14ac:dyDescent="0.15">
      <c r="D876" s="30"/>
    </row>
    <row r="877" spans="4:4" ht="15.75" customHeight="1" x14ac:dyDescent="0.15">
      <c r="D877" s="30"/>
    </row>
    <row r="878" spans="4:4" ht="15.75" customHeight="1" x14ac:dyDescent="0.15">
      <c r="D878" s="30"/>
    </row>
    <row r="879" spans="4:4" ht="15.75" customHeight="1" x14ac:dyDescent="0.15">
      <c r="D879" s="30"/>
    </row>
    <row r="880" spans="4:4" ht="15.75" customHeight="1" x14ac:dyDescent="0.15">
      <c r="D880" s="30"/>
    </row>
    <row r="881" spans="4:4" ht="15.75" customHeight="1" x14ac:dyDescent="0.15">
      <c r="D881" s="30"/>
    </row>
    <row r="882" spans="4:4" ht="15.75" customHeight="1" x14ac:dyDescent="0.15">
      <c r="D882" s="30"/>
    </row>
    <row r="883" spans="4:4" ht="15.75" customHeight="1" x14ac:dyDescent="0.15">
      <c r="D883" s="30"/>
    </row>
    <row r="884" spans="4:4" ht="15.75" customHeight="1" x14ac:dyDescent="0.15">
      <c r="D884" s="30"/>
    </row>
    <row r="885" spans="4:4" ht="15.75" customHeight="1" x14ac:dyDescent="0.15">
      <c r="D885" s="30"/>
    </row>
    <row r="886" spans="4:4" ht="15.75" customHeight="1" x14ac:dyDescent="0.15">
      <c r="D886" s="30"/>
    </row>
    <row r="887" spans="4:4" ht="15.75" customHeight="1" x14ac:dyDescent="0.15">
      <c r="D887" s="30"/>
    </row>
    <row r="888" spans="4:4" ht="15.75" customHeight="1" x14ac:dyDescent="0.15">
      <c r="D888" s="30"/>
    </row>
    <row r="889" spans="4:4" ht="15.75" customHeight="1" x14ac:dyDescent="0.15">
      <c r="D889" s="30"/>
    </row>
    <row r="890" spans="4:4" ht="15.75" customHeight="1" x14ac:dyDescent="0.15">
      <c r="D890" s="30"/>
    </row>
    <row r="891" spans="4:4" ht="15.75" customHeight="1" x14ac:dyDescent="0.15">
      <c r="D891" s="30"/>
    </row>
    <row r="892" spans="4:4" ht="15.75" customHeight="1" x14ac:dyDescent="0.15">
      <c r="D892" s="30"/>
    </row>
    <row r="893" spans="4:4" ht="15.75" customHeight="1" x14ac:dyDescent="0.15">
      <c r="D893" s="30"/>
    </row>
    <row r="894" spans="4:4" ht="15.75" customHeight="1" x14ac:dyDescent="0.15">
      <c r="D894" s="30"/>
    </row>
    <row r="895" spans="4:4" ht="15.75" customHeight="1" x14ac:dyDescent="0.15">
      <c r="D895" s="30"/>
    </row>
    <row r="896" spans="4:4" ht="15.75" customHeight="1" x14ac:dyDescent="0.15">
      <c r="D896" s="30"/>
    </row>
    <row r="897" spans="4:4" ht="15.75" customHeight="1" x14ac:dyDescent="0.15">
      <c r="D897" s="30"/>
    </row>
    <row r="898" spans="4:4" ht="15.75" customHeight="1" x14ac:dyDescent="0.15">
      <c r="D898" s="30"/>
    </row>
    <row r="899" spans="4:4" ht="15.75" customHeight="1" x14ac:dyDescent="0.15">
      <c r="D899" s="30"/>
    </row>
    <row r="900" spans="4:4" ht="15.75" customHeight="1" x14ac:dyDescent="0.15">
      <c r="D900" s="30"/>
    </row>
    <row r="901" spans="4:4" ht="15.75" customHeight="1" x14ac:dyDescent="0.15">
      <c r="D901" s="30"/>
    </row>
    <row r="902" spans="4:4" ht="15.75" customHeight="1" x14ac:dyDescent="0.15">
      <c r="D902" s="30"/>
    </row>
    <row r="903" spans="4:4" ht="15.75" customHeight="1" x14ac:dyDescent="0.15">
      <c r="D903" s="30"/>
    </row>
    <row r="904" spans="4:4" ht="15.75" customHeight="1" x14ac:dyDescent="0.15">
      <c r="D904" s="30"/>
    </row>
    <row r="905" spans="4:4" ht="15.75" customHeight="1" x14ac:dyDescent="0.15">
      <c r="D905" s="30"/>
    </row>
    <row r="906" spans="4:4" ht="15.75" customHeight="1" x14ac:dyDescent="0.15">
      <c r="D906" s="30"/>
    </row>
    <row r="907" spans="4:4" ht="15.75" customHeight="1" x14ac:dyDescent="0.15">
      <c r="D907" s="30"/>
    </row>
    <row r="908" spans="4:4" ht="15.75" customHeight="1" x14ac:dyDescent="0.15">
      <c r="D908" s="30"/>
    </row>
    <row r="909" spans="4:4" ht="15.75" customHeight="1" x14ac:dyDescent="0.15">
      <c r="D909" s="30"/>
    </row>
    <row r="910" spans="4:4" ht="15.75" customHeight="1" x14ac:dyDescent="0.15">
      <c r="D910" s="30"/>
    </row>
    <row r="911" spans="4:4" ht="15.75" customHeight="1" x14ac:dyDescent="0.15">
      <c r="D911" s="30"/>
    </row>
    <row r="912" spans="4:4" ht="15.75" customHeight="1" x14ac:dyDescent="0.15">
      <c r="D912" s="30"/>
    </row>
    <row r="913" spans="4:4" ht="15.75" customHeight="1" x14ac:dyDescent="0.15">
      <c r="D913" s="30"/>
    </row>
    <row r="914" spans="4:4" ht="15.75" customHeight="1" x14ac:dyDescent="0.15">
      <c r="D914" s="30"/>
    </row>
    <row r="915" spans="4:4" ht="15.75" customHeight="1" x14ac:dyDescent="0.15">
      <c r="D915" s="30"/>
    </row>
    <row r="916" spans="4:4" ht="15.75" customHeight="1" x14ac:dyDescent="0.15">
      <c r="D916" s="30"/>
    </row>
    <row r="917" spans="4:4" ht="15.75" customHeight="1" x14ac:dyDescent="0.15">
      <c r="D917" s="30"/>
    </row>
    <row r="918" spans="4:4" ht="15.75" customHeight="1" x14ac:dyDescent="0.15">
      <c r="D918" s="30"/>
    </row>
    <row r="919" spans="4:4" ht="15.75" customHeight="1" x14ac:dyDescent="0.15">
      <c r="D919" s="30"/>
    </row>
    <row r="920" spans="4:4" ht="15.75" customHeight="1" x14ac:dyDescent="0.15">
      <c r="D920" s="30"/>
    </row>
    <row r="921" spans="4:4" ht="15.75" customHeight="1" x14ac:dyDescent="0.15">
      <c r="D921" s="30"/>
    </row>
    <row r="922" spans="4:4" ht="15.75" customHeight="1" x14ac:dyDescent="0.15">
      <c r="D922" s="30"/>
    </row>
    <row r="923" spans="4:4" ht="15.75" customHeight="1" x14ac:dyDescent="0.15">
      <c r="D923" s="30"/>
    </row>
    <row r="924" spans="4:4" ht="15.75" customHeight="1" x14ac:dyDescent="0.15">
      <c r="D924" s="30"/>
    </row>
    <row r="925" spans="4:4" ht="15.75" customHeight="1" x14ac:dyDescent="0.15">
      <c r="D925" s="30"/>
    </row>
    <row r="926" spans="4:4" ht="15.75" customHeight="1" x14ac:dyDescent="0.15">
      <c r="D926" s="30"/>
    </row>
    <row r="927" spans="4:4" ht="15.75" customHeight="1" x14ac:dyDescent="0.15">
      <c r="D927" s="30"/>
    </row>
    <row r="928" spans="4:4" ht="15.75" customHeight="1" x14ac:dyDescent="0.15">
      <c r="D928" s="30"/>
    </row>
    <row r="929" spans="4:4" ht="15.75" customHeight="1" x14ac:dyDescent="0.15">
      <c r="D929" s="30"/>
    </row>
    <row r="930" spans="4:4" ht="15.75" customHeight="1" x14ac:dyDescent="0.15">
      <c r="D930" s="30"/>
    </row>
    <row r="931" spans="4:4" ht="15.75" customHeight="1" x14ac:dyDescent="0.15">
      <c r="D931" s="30"/>
    </row>
    <row r="932" spans="4:4" ht="15.75" customHeight="1" x14ac:dyDescent="0.15">
      <c r="D932" s="30"/>
    </row>
    <row r="933" spans="4:4" ht="15.75" customHeight="1" x14ac:dyDescent="0.15">
      <c r="D933" s="30"/>
    </row>
    <row r="934" spans="4:4" ht="15.75" customHeight="1" x14ac:dyDescent="0.15">
      <c r="D934" s="30"/>
    </row>
    <row r="935" spans="4:4" ht="15.75" customHeight="1" x14ac:dyDescent="0.15">
      <c r="D935" s="30"/>
    </row>
    <row r="936" spans="4:4" ht="15.75" customHeight="1" x14ac:dyDescent="0.15">
      <c r="D936" s="30"/>
    </row>
    <row r="937" spans="4:4" ht="15.75" customHeight="1" x14ac:dyDescent="0.15">
      <c r="D937" s="30"/>
    </row>
    <row r="938" spans="4:4" ht="15.75" customHeight="1" x14ac:dyDescent="0.15">
      <c r="D938" s="30"/>
    </row>
    <row r="939" spans="4:4" ht="15.75" customHeight="1" x14ac:dyDescent="0.15">
      <c r="D939" s="30"/>
    </row>
    <row r="940" spans="4:4" ht="15.75" customHeight="1" x14ac:dyDescent="0.15">
      <c r="D940" s="30"/>
    </row>
    <row r="941" spans="4:4" ht="15.75" customHeight="1" x14ac:dyDescent="0.15">
      <c r="D941" s="30"/>
    </row>
    <row r="942" spans="4:4" ht="15.75" customHeight="1" x14ac:dyDescent="0.15">
      <c r="D942" s="30"/>
    </row>
    <row r="943" spans="4:4" ht="15.75" customHeight="1" x14ac:dyDescent="0.15">
      <c r="D943" s="30"/>
    </row>
    <row r="944" spans="4:4" ht="15.75" customHeight="1" x14ac:dyDescent="0.15">
      <c r="D944" s="30"/>
    </row>
    <row r="945" spans="4:4" ht="15.75" customHeight="1" x14ac:dyDescent="0.15">
      <c r="D945" s="30"/>
    </row>
    <row r="946" spans="4:4" ht="15.75" customHeight="1" x14ac:dyDescent="0.15">
      <c r="D946" s="30"/>
    </row>
    <row r="947" spans="4:4" ht="15.75" customHeight="1" x14ac:dyDescent="0.15">
      <c r="D947" s="30"/>
    </row>
    <row r="948" spans="4:4" ht="15.75" customHeight="1" x14ac:dyDescent="0.15">
      <c r="D948" s="30"/>
    </row>
    <row r="949" spans="4:4" ht="15.75" customHeight="1" x14ac:dyDescent="0.15">
      <c r="D949" s="30"/>
    </row>
    <row r="950" spans="4:4" ht="15.75" customHeight="1" x14ac:dyDescent="0.15">
      <c r="D950" s="30"/>
    </row>
    <row r="951" spans="4:4" ht="15.75" customHeight="1" x14ac:dyDescent="0.15">
      <c r="D951" s="30"/>
    </row>
    <row r="952" spans="4:4" ht="15.75" customHeight="1" x14ac:dyDescent="0.15">
      <c r="D952" s="30"/>
    </row>
    <row r="953" spans="4:4" ht="15.75" customHeight="1" x14ac:dyDescent="0.15">
      <c r="D953" s="30"/>
    </row>
    <row r="954" spans="4:4" ht="15.75" customHeight="1" x14ac:dyDescent="0.15">
      <c r="D954" s="30"/>
    </row>
    <row r="955" spans="4:4" ht="15.75" customHeight="1" x14ac:dyDescent="0.15">
      <c r="D955" s="30"/>
    </row>
    <row r="956" spans="4:4" ht="15.75" customHeight="1" x14ac:dyDescent="0.15">
      <c r="D956" s="30"/>
    </row>
    <row r="957" spans="4:4" ht="15.75" customHeight="1" x14ac:dyDescent="0.15">
      <c r="D957" s="30"/>
    </row>
    <row r="958" spans="4:4" ht="15.75" customHeight="1" x14ac:dyDescent="0.15">
      <c r="D958" s="30"/>
    </row>
    <row r="959" spans="4:4" ht="15.75" customHeight="1" x14ac:dyDescent="0.15">
      <c r="D959" s="30"/>
    </row>
    <row r="960" spans="4:4" ht="15.75" customHeight="1" x14ac:dyDescent="0.15">
      <c r="D960" s="30"/>
    </row>
    <row r="961" spans="4:4" ht="15.75" customHeight="1" x14ac:dyDescent="0.15">
      <c r="D961" s="30"/>
    </row>
    <row r="962" spans="4:4" ht="15.75" customHeight="1" x14ac:dyDescent="0.15">
      <c r="D962" s="30"/>
    </row>
    <row r="963" spans="4:4" ht="15.75" customHeight="1" x14ac:dyDescent="0.15">
      <c r="D963" s="30"/>
    </row>
    <row r="964" spans="4:4" ht="15.75" customHeight="1" x14ac:dyDescent="0.15">
      <c r="D964" s="30"/>
    </row>
    <row r="965" spans="4:4" ht="15.75" customHeight="1" x14ac:dyDescent="0.15">
      <c r="D965" s="30"/>
    </row>
    <row r="966" spans="4:4" ht="15.75" customHeight="1" x14ac:dyDescent="0.15">
      <c r="D966" s="30"/>
    </row>
    <row r="967" spans="4:4" ht="15.75" customHeight="1" x14ac:dyDescent="0.15">
      <c r="D967" s="30"/>
    </row>
    <row r="968" spans="4:4" ht="15.75" customHeight="1" x14ac:dyDescent="0.15">
      <c r="D968" s="30"/>
    </row>
    <row r="969" spans="4:4" ht="15.75" customHeight="1" x14ac:dyDescent="0.15">
      <c r="D969" s="30"/>
    </row>
    <row r="970" spans="4:4" ht="15.75" customHeight="1" x14ac:dyDescent="0.15">
      <c r="D970" s="30"/>
    </row>
    <row r="971" spans="4:4" ht="15.75" customHeight="1" x14ac:dyDescent="0.15">
      <c r="D971" s="30"/>
    </row>
    <row r="972" spans="4:4" ht="15.75" customHeight="1" x14ac:dyDescent="0.15">
      <c r="D972" s="30"/>
    </row>
    <row r="973" spans="4:4" ht="15.75" customHeight="1" x14ac:dyDescent="0.15">
      <c r="D973" s="30"/>
    </row>
    <row r="974" spans="4:4" ht="15.75" customHeight="1" x14ac:dyDescent="0.15">
      <c r="D974" s="30"/>
    </row>
    <row r="975" spans="4:4" ht="15.75" customHeight="1" x14ac:dyDescent="0.15">
      <c r="D975" s="30"/>
    </row>
    <row r="976" spans="4:4" ht="15.75" customHeight="1" x14ac:dyDescent="0.15">
      <c r="D976" s="30"/>
    </row>
    <row r="977" spans="4:4" ht="15.75" customHeight="1" x14ac:dyDescent="0.15">
      <c r="D977" s="30"/>
    </row>
    <row r="978" spans="4:4" ht="15.75" customHeight="1" x14ac:dyDescent="0.15">
      <c r="D978" s="30"/>
    </row>
    <row r="979" spans="4:4" ht="15.75" customHeight="1" x14ac:dyDescent="0.15">
      <c r="D979" s="30"/>
    </row>
    <row r="980" spans="4:4" ht="15.75" customHeight="1" x14ac:dyDescent="0.15">
      <c r="D980" s="30"/>
    </row>
    <row r="981" spans="4:4" ht="15.75" customHeight="1" x14ac:dyDescent="0.15">
      <c r="D981" s="30"/>
    </row>
    <row r="982" spans="4:4" ht="15.75" customHeight="1" x14ac:dyDescent="0.15">
      <c r="D982" s="30"/>
    </row>
    <row r="983" spans="4:4" ht="15.75" customHeight="1" x14ac:dyDescent="0.15">
      <c r="D983" s="30"/>
    </row>
    <row r="984" spans="4:4" ht="15.75" customHeight="1" x14ac:dyDescent="0.15">
      <c r="D984" s="30"/>
    </row>
    <row r="985" spans="4:4" ht="15.75" customHeight="1" x14ac:dyDescent="0.15">
      <c r="D985" s="30"/>
    </row>
    <row r="986" spans="4:4" ht="15.75" customHeight="1" x14ac:dyDescent="0.15">
      <c r="D986" s="30"/>
    </row>
    <row r="987" spans="4:4" ht="15.75" customHeight="1" x14ac:dyDescent="0.15">
      <c r="D987" s="30"/>
    </row>
    <row r="988" spans="4:4" ht="15.75" customHeight="1" x14ac:dyDescent="0.15">
      <c r="D988" s="30"/>
    </row>
    <row r="989" spans="4:4" ht="15.75" customHeight="1" x14ac:dyDescent="0.15">
      <c r="D989" s="30"/>
    </row>
    <row r="990" spans="4:4" ht="15.75" customHeight="1" x14ac:dyDescent="0.15">
      <c r="D990" s="30"/>
    </row>
    <row r="991" spans="4:4" ht="15.75" customHeight="1" x14ac:dyDescent="0.15">
      <c r="D991" s="30"/>
    </row>
    <row r="992" spans="4:4" ht="15.75" customHeight="1" x14ac:dyDescent="0.15">
      <c r="D992" s="30"/>
    </row>
    <row r="993" spans="4:4" ht="15.75" customHeight="1" x14ac:dyDescent="0.15">
      <c r="D993" s="30"/>
    </row>
    <row r="994" spans="4:4" ht="15.75" customHeight="1" x14ac:dyDescent="0.15">
      <c r="D994" s="30"/>
    </row>
    <row r="995" spans="4:4" ht="15.75" customHeight="1" x14ac:dyDescent="0.15">
      <c r="D995" s="30"/>
    </row>
    <row r="996" spans="4:4" ht="15.75" customHeight="1" x14ac:dyDescent="0.15">
      <c r="D996" s="30"/>
    </row>
    <row r="997" spans="4:4" ht="15.75" customHeight="1" x14ac:dyDescent="0.15"/>
    <row r="998" spans="4:4" ht="15.75" customHeight="1" x14ac:dyDescent="0.15"/>
    <row r="999" spans="4:4" ht="15.75" customHeight="1" x14ac:dyDescent="0.15"/>
    <row r="1000" spans="4:4" ht="15.75" customHeight="1" x14ac:dyDescent="0.15"/>
  </sheetData>
  <mergeCells count="4">
    <mergeCell ref="A1:L1"/>
    <mergeCell ref="A2:L2"/>
    <mergeCell ref="A3:L3"/>
    <mergeCell ref="A18:L18"/>
  </mergeCells>
  <dataValidations count="1">
    <dataValidation type="list" allowBlank="1" showErrorMessage="1" sqref="D4 D34:D996" xr:uid="{00000000-0002-0000-0200-000000000000}">
      <formula1>"উপপরিচালক,অতিরিক্ত উপপরিচালক,উপজেলা কৃষি অফিসার,অতিরিক্ত কৃষি অফিসার,কৃষি সম্প্রসারণ অফিসার,অতিরিক্ত কৃষি সম্প্রসারণ অফিসার,উপসহকারী কৃষি কর্মকর্তা"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pane ySplit="4" topLeftCell="A5" activePane="bottomLeft" state="frozen"/>
      <selection pane="bottomLeft" activeCell="A4" sqref="A1:A1048576"/>
    </sheetView>
  </sheetViews>
  <sheetFormatPr defaultColWidth="12.625" defaultRowHeight="15" customHeight="1" x14ac:dyDescent="0.15"/>
  <cols>
    <col min="1" max="1" width="14.7109375" customWidth="1"/>
    <col min="2" max="2" width="19.98046875" customWidth="1"/>
    <col min="3" max="3" width="16.42578125" customWidth="1"/>
    <col min="4" max="4" width="18.6328125" customWidth="1"/>
    <col min="5" max="6" width="16.42578125" customWidth="1"/>
    <col min="7" max="10" width="14.21875" customWidth="1"/>
    <col min="11" max="26" width="14.33984375" customWidth="1"/>
  </cols>
  <sheetData>
    <row r="1" spans="1:10" ht="24" customHeight="1" x14ac:dyDescent="0.15">
      <c r="A1" s="149" t="s">
        <v>97</v>
      </c>
      <c r="B1" s="127"/>
      <c r="C1" s="127"/>
      <c r="D1" s="127"/>
      <c r="E1" s="127"/>
      <c r="F1" s="127"/>
      <c r="G1" s="127"/>
      <c r="H1" s="127"/>
      <c r="I1" s="127"/>
      <c r="J1" s="128"/>
    </row>
    <row r="2" spans="1:10" ht="16.5" customHeight="1" x14ac:dyDescent="0.15">
      <c r="A2" s="150" t="s">
        <v>98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0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8"/>
    </row>
    <row r="4" spans="1:10" ht="22.5" customHeight="1" x14ac:dyDescent="0.15">
      <c r="A4" s="18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32" t="s">
        <v>48</v>
      </c>
      <c r="G4" s="18" t="s">
        <v>51</v>
      </c>
      <c r="H4" s="18" t="s">
        <v>52</v>
      </c>
      <c r="I4" s="18" t="s">
        <v>53</v>
      </c>
      <c r="J4" s="18" t="s">
        <v>54</v>
      </c>
    </row>
    <row r="5" spans="1:10" ht="15" customHeight="1" x14ac:dyDescent="0.15">
      <c r="A5" s="35">
        <v>46211.952922025463</v>
      </c>
      <c r="B5" s="35">
        <v>46211.952922025463</v>
      </c>
      <c r="C5" s="25" t="s">
        <v>57</v>
      </c>
      <c r="D5" s="25" t="s">
        <v>58</v>
      </c>
      <c r="E5" s="25" t="s">
        <v>59</v>
      </c>
      <c r="F5" s="36">
        <v>1712653740</v>
      </c>
      <c r="G5" s="25" t="s">
        <v>62</v>
      </c>
      <c r="H5" s="25"/>
      <c r="I5" s="25"/>
      <c r="J5" s="25"/>
    </row>
    <row r="6" spans="1:10" ht="15" customHeight="1" x14ac:dyDescent="0.15">
      <c r="A6" s="37">
        <v>46211.96821136574</v>
      </c>
      <c r="B6" s="37">
        <v>46211.96821136574</v>
      </c>
      <c r="C6" s="21" t="s">
        <v>99</v>
      </c>
      <c r="D6" s="21" t="s">
        <v>100</v>
      </c>
      <c r="E6" s="21" t="s">
        <v>101</v>
      </c>
      <c r="F6" s="38">
        <v>1784143269</v>
      </c>
      <c r="G6" s="21" t="s">
        <v>62</v>
      </c>
      <c r="H6" s="21" t="s">
        <v>102</v>
      </c>
      <c r="I6" s="21"/>
      <c r="J6" s="21"/>
    </row>
    <row r="7" spans="1:10" ht="15" customHeight="1" x14ac:dyDescent="0.15">
      <c r="A7" s="35">
        <v>46211.968215578701</v>
      </c>
      <c r="B7" s="35">
        <v>46211.968215578701</v>
      </c>
      <c r="C7" s="25" t="s">
        <v>103</v>
      </c>
      <c r="D7" s="25" t="s">
        <v>104</v>
      </c>
      <c r="E7" s="25" t="s">
        <v>105</v>
      </c>
      <c r="F7" s="36">
        <v>1797785954</v>
      </c>
      <c r="G7" s="25" t="s">
        <v>62</v>
      </c>
      <c r="H7" s="25" t="s">
        <v>106</v>
      </c>
      <c r="I7" s="25"/>
      <c r="J7" s="25"/>
    </row>
    <row r="8" spans="1:10" ht="15" customHeight="1" x14ac:dyDescent="0.15">
      <c r="A8" s="37">
        <v>46211.968245682867</v>
      </c>
      <c r="B8" s="37">
        <v>46211.968245682867</v>
      </c>
      <c r="C8" s="21" t="s">
        <v>103</v>
      </c>
      <c r="D8" s="21" t="s">
        <v>104</v>
      </c>
      <c r="E8" s="21" t="s">
        <v>107</v>
      </c>
      <c r="F8" s="38">
        <v>1736576367</v>
      </c>
      <c r="G8" s="21" t="s">
        <v>62</v>
      </c>
      <c r="H8" s="21" t="s">
        <v>108</v>
      </c>
      <c r="I8" s="21"/>
      <c r="J8" s="21"/>
    </row>
    <row r="9" spans="1:10" ht="15" customHeight="1" x14ac:dyDescent="0.15">
      <c r="A9" s="35">
        <v>46211.968288877317</v>
      </c>
      <c r="B9" s="35">
        <v>46211.968288877317</v>
      </c>
      <c r="C9" s="25" t="s">
        <v>99</v>
      </c>
      <c r="D9" s="25" t="s">
        <v>100</v>
      </c>
      <c r="E9" s="25" t="s">
        <v>109</v>
      </c>
      <c r="F9" s="36">
        <v>1745506522</v>
      </c>
      <c r="G9" s="25" t="s">
        <v>62</v>
      </c>
      <c r="H9" s="25" t="s">
        <v>110</v>
      </c>
      <c r="I9" s="25"/>
      <c r="J9" s="25"/>
    </row>
    <row r="10" spans="1:10" ht="15" customHeight="1" x14ac:dyDescent="0.15">
      <c r="A10" s="37">
        <v>46211.968386782406</v>
      </c>
      <c r="B10" s="37">
        <v>46211.968386782406</v>
      </c>
      <c r="C10" s="21" t="s">
        <v>103</v>
      </c>
      <c r="D10" s="21" t="s">
        <v>104</v>
      </c>
      <c r="E10" s="21" t="s">
        <v>111</v>
      </c>
      <c r="F10" s="38">
        <v>1334031177</v>
      </c>
      <c r="G10" s="21" t="s">
        <v>62</v>
      </c>
      <c r="H10" s="21" t="s">
        <v>102</v>
      </c>
      <c r="I10" s="21"/>
      <c r="J10" s="21"/>
    </row>
    <row r="11" spans="1:10" ht="15" customHeight="1" x14ac:dyDescent="0.15">
      <c r="A11" s="35">
        <v>46211.968422523147</v>
      </c>
      <c r="B11" s="35">
        <v>46211.968422523147</v>
      </c>
      <c r="C11" s="25" t="s">
        <v>103</v>
      </c>
      <c r="D11" s="25" t="s">
        <v>104</v>
      </c>
      <c r="E11" s="25" t="s">
        <v>112</v>
      </c>
      <c r="F11" s="36">
        <v>1738385819</v>
      </c>
      <c r="G11" s="25" t="s">
        <v>62</v>
      </c>
      <c r="H11" s="25" t="s">
        <v>113</v>
      </c>
      <c r="I11" s="25"/>
      <c r="J11" s="25"/>
    </row>
    <row r="12" spans="1:10" ht="15" customHeight="1" x14ac:dyDescent="0.15">
      <c r="A12" s="37">
        <v>46211.968436932868</v>
      </c>
      <c r="B12" s="37">
        <v>46211.968436932868</v>
      </c>
      <c r="C12" s="21" t="s">
        <v>99</v>
      </c>
      <c r="D12" s="21" t="s">
        <v>100</v>
      </c>
      <c r="E12" s="21" t="s">
        <v>114</v>
      </c>
      <c r="F12" s="38">
        <v>1747808300</v>
      </c>
      <c r="G12" s="21" t="s">
        <v>62</v>
      </c>
      <c r="H12" s="21" t="s">
        <v>108</v>
      </c>
      <c r="I12" s="21"/>
      <c r="J12" s="21"/>
    </row>
    <row r="13" spans="1:10" ht="15" customHeight="1" x14ac:dyDescent="0.15">
      <c r="A13" s="35">
        <v>46211.968542835646</v>
      </c>
      <c r="B13" s="35">
        <v>46211.968542835646</v>
      </c>
      <c r="C13" s="25" t="s">
        <v>103</v>
      </c>
      <c r="D13" s="25" t="s">
        <v>104</v>
      </c>
      <c r="E13" s="25" t="s">
        <v>115</v>
      </c>
      <c r="F13" s="36">
        <v>1710474405</v>
      </c>
      <c r="G13" s="25" t="s">
        <v>62</v>
      </c>
      <c r="H13" s="25" t="s">
        <v>116</v>
      </c>
      <c r="I13" s="25"/>
      <c r="J13" s="25"/>
    </row>
    <row r="14" spans="1:10" ht="15" customHeight="1" x14ac:dyDescent="0.15">
      <c r="A14" s="37">
        <v>46211.969431423611</v>
      </c>
      <c r="B14" s="37">
        <v>46211.969431423611</v>
      </c>
      <c r="C14" s="21" t="s">
        <v>103</v>
      </c>
      <c r="D14" s="21" t="s">
        <v>104</v>
      </c>
      <c r="E14" s="21" t="s">
        <v>117</v>
      </c>
      <c r="F14" s="38">
        <v>1723183491</v>
      </c>
      <c r="G14" s="21" t="s">
        <v>62</v>
      </c>
      <c r="H14" s="21" t="s">
        <v>110</v>
      </c>
      <c r="I14" s="21"/>
      <c r="J14" s="21"/>
    </row>
    <row r="15" spans="1:10" ht="15" customHeight="1" x14ac:dyDescent="0.15">
      <c r="A15" s="35">
        <v>46211.969553946758</v>
      </c>
      <c r="B15" s="35">
        <v>46211.969553946758</v>
      </c>
      <c r="C15" s="25" t="s">
        <v>103</v>
      </c>
      <c r="D15" s="25" t="s">
        <v>104</v>
      </c>
      <c r="E15" s="25" t="s">
        <v>118</v>
      </c>
      <c r="F15" s="36">
        <v>1758772809</v>
      </c>
      <c r="G15" s="25" t="s">
        <v>62</v>
      </c>
      <c r="H15" s="25" t="s">
        <v>119</v>
      </c>
      <c r="I15" s="25"/>
      <c r="J15" s="25"/>
    </row>
    <row r="16" spans="1:10" ht="15" customHeight="1" x14ac:dyDescent="0.15">
      <c r="A16" s="37">
        <v>46211.970931435186</v>
      </c>
      <c r="B16" s="37">
        <v>46211.970931435186</v>
      </c>
      <c r="C16" s="21" t="s">
        <v>103</v>
      </c>
      <c r="D16" s="21" t="s">
        <v>104</v>
      </c>
      <c r="E16" s="21" t="s">
        <v>105</v>
      </c>
      <c r="F16" s="38">
        <v>1797785954</v>
      </c>
      <c r="G16" s="21" t="s">
        <v>62</v>
      </c>
      <c r="H16" s="21" t="s">
        <v>106</v>
      </c>
      <c r="I16" s="21"/>
      <c r="J16" s="21"/>
    </row>
    <row r="17" spans="1:10" ht="15" customHeight="1" x14ac:dyDescent="0.15">
      <c r="A17" s="35">
        <v>46211.971683136573</v>
      </c>
      <c r="B17" s="35">
        <v>46211.971683136573</v>
      </c>
      <c r="C17" s="25" t="s">
        <v>103</v>
      </c>
      <c r="D17" s="25" t="s">
        <v>104</v>
      </c>
      <c r="E17" s="25" t="s">
        <v>118</v>
      </c>
      <c r="F17" s="36">
        <v>1758772809</v>
      </c>
      <c r="G17" s="25" t="s">
        <v>62</v>
      </c>
      <c r="H17" s="25" t="s">
        <v>119</v>
      </c>
      <c r="I17" s="25"/>
      <c r="J17" s="25"/>
    </row>
    <row r="18" spans="1:10" ht="15" customHeight="1" x14ac:dyDescent="0.15">
      <c r="A18" s="37">
        <v>46211.971745902774</v>
      </c>
      <c r="B18" s="37">
        <v>46211.971745902774</v>
      </c>
      <c r="C18" s="21" t="s">
        <v>103</v>
      </c>
      <c r="D18" s="21" t="s">
        <v>104</v>
      </c>
      <c r="E18" s="21" t="s">
        <v>107</v>
      </c>
      <c r="F18" s="38">
        <v>1736576367</v>
      </c>
      <c r="G18" s="21" t="s">
        <v>62</v>
      </c>
      <c r="H18" s="21" t="s">
        <v>108</v>
      </c>
      <c r="I18" s="21"/>
      <c r="J18" s="21"/>
    </row>
    <row r="19" spans="1:10" ht="15" customHeight="1" x14ac:dyDescent="0.15">
      <c r="A19" s="35">
        <v>46211.971905196762</v>
      </c>
      <c r="B19" s="35">
        <v>46211.971905196762</v>
      </c>
      <c r="C19" s="25" t="s">
        <v>103</v>
      </c>
      <c r="D19" s="25" t="s">
        <v>104</v>
      </c>
      <c r="E19" s="25" t="s">
        <v>112</v>
      </c>
      <c r="F19" s="36">
        <v>1738385819</v>
      </c>
      <c r="G19" s="25" t="s">
        <v>62</v>
      </c>
      <c r="H19" s="25" t="s">
        <v>113</v>
      </c>
      <c r="I19" s="25"/>
      <c r="J19" s="25"/>
    </row>
    <row r="20" spans="1:10" ht="15" customHeight="1" x14ac:dyDescent="0.15">
      <c r="A20" s="37">
        <v>46211.972183298611</v>
      </c>
      <c r="B20" s="37">
        <v>46211.972183298611</v>
      </c>
      <c r="C20" s="21" t="s">
        <v>103</v>
      </c>
      <c r="D20" s="21" t="s">
        <v>104</v>
      </c>
      <c r="E20" s="21" t="s">
        <v>115</v>
      </c>
      <c r="F20" s="38">
        <v>1710474405</v>
      </c>
      <c r="G20" s="21" t="s">
        <v>62</v>
      </c>
      <c r="H20" s="21" t="s">
        <v>116</v>
      </c>
      <c r="I20" s="21"/>
      <c r="J20" s="21"/>
    </row>
    <row r="21" spans="1:10" ht="15" customHeight="1" x14ac:dyDescent="0.15">
      <c r="A21" s="35">
        <v>46211.972668043978</v>
      </c>
      <c r="B21" s="35">
        <v>46211.972668043978</v>
      </c>
      <c r="C21" s="25" t="s">
        <v>103</v>
      </c>
      <c r="D21" s="25" t="s">
        <v>104</v>
      </c>
      <c r="E21" s="25" t="s">
        <v>111</v>
      </c>
      <c r="F21" s="36">
        <v>1334031177</v>
      </c>
      <c r="G21" s="25" t="s">
        <v>62</v>
      </c>
      <c r="H21" s="25" t="s">
        <v>102</v>
      </c>
      <c r="I21" s="25"/>
      <c r="J21" s="25"/>
    </row>
    <row r="22" spans="1:10" ht="15" customHeight="1" x14ac:dyDescent="0.15">
      <c r="A22" s="37">
        <v>46211.973323703707</v>
      </c>
      <c r="B22" s="37">
        <v>46211.973323703707</v>
      </c>
      <c r="C22" s="21" t="s">
        <v>99</v>
      </c>
      <c r="D22" s="21" t="s">
        <v>100</v>
      </c>
      <c r="E22" s="21" t="s">
        <v>120</v>
      </c>
      <c r="F22" s="38">
        <v>1737358851</v>
      </c>
      <c r="G22" s="21" t="s">
        <v>62</v>
      </c>
      <c r="H22" s="21" t="s">
        <v>108</v>
      </c>
      <c r="I22" s="21"/>
      <c r="J22" s="21"/>
    </row>
    <row r="23" spans="1:10" ht="15" customHeight="1" x14ac:dyDescent="0.15">
      <c r="A23" s="35">
        <v>46211.973448958335</v>
      </c>
      <c r="B23" s="35">
        <v>46211.973448958335</v>
      </c>
      <c r="C23" s="25" t="s">
        <v>99</v>
      </c>
      <c r="D23" s="25" t="s">
        <v>100</v>
      </c>
      <c r="E23" s="25" t="s">
        <v>101</v>
      </c>
      <c r="F23" s="36">
        <v>1784143269</v>
      </c>
      <c r="G23" s="25" t="s">
        <v>62</v>
      </c>
      <c r="H23" s="25" t="s">
        <v>102</v>
      </c>
      <c r="I23" s="25"/>
      <c r="J23" s="25"/>
    </row>
    <row r="24" spans="1:10" ht="15" customHeight="1" x14ac:dyDescent="0.15">
      <c r="A24" s="37">
        <v>46211.97350565972</v>
      </c>
      <c r="B24" s="37">
        <v>46211.97350565972</v>
      </c>
      <c r="C24" s="21" t="s">
        <v>99</v>
      </c>
      <c r="D24" s="21" t="s">
        <v>100</v>
      </c>
      <c r="E24" s="21" t="s">
        <v>121</v>
      </c>
      <c r="F24" s="38">
        <v>1737665331</v>
      </c>
      <c r="G24" s="21" t="s">
        <v>62</v>
      </c>
      <c r="H24" s="21" t="s">
        <v>106</v>
      </c>
      <c r="I24" s="21"/>
      <c r="J24" s="21"/>
    </row>
    <row r="25" spans="1:10" ht="15" customHeight="1" x14ac:dyDescent="0.15">
      <c r="A25" s="35">
        <v>46211.973861423612</v>
      </c>
      <c r="B25" s="35">
        <v>46211.973861423612</v>
      </c>
      <c r="C25" s="25" t="s">
        <v>99</v>
      </c>
      <c r="D25" s="25" t="s">
        <v>100</v>
      </c>
      <c r="E25" s="25" t="s">
        <v>109</v>
      </c>
      <c r="F25" s="36">
        <v>1745506522</v>
      </c>
      <c r="G25" s="25" t="s">
        <v>62</v>
      </c>
      <c r="H25" s="25" t="s">
        <v>110</v>
      </c>
      <c r="I25" s="25"/>
      <c r="J25" s="25"/>
    </row>
    <row r="26" spans="1:10" ht="15" customHeight="1" x14ac:dyDescent="0.15">
      <c r="A26" s="37">
        <v>46211.974125393521</v>
      </c>
      <c r="B26" s="37">
        <v>46211.974125393521</v>
      </c>
      <c r="C26" s="21" t="s">
        <v>103</v>
      </c>
      <c r="D26" s="21" t="s">
        <v>104</v>
      </c>
      <c r="E26" s="21" t="s">
        <v>122</v>
      </c>
      <c r="F26" s="38">
        <v>1723183491</v>
      </c>
      <c r="G26" s="21" t="s">
        <v>62</v>
      </c>
      <c r="H26" s="21" t="s">
        <v>110</v>
      </c>
      <c r="I26" s="21"/>
      <c r="J26" s="21"/>
    </row>
    <row r="27" spans="1:10" ht="15" customHeight="1" x14ac:dyDescent="0.15">
      <c r="A27" s="35">
        <v>46211.974330289355</v>
      </c>
      <c r="B27" s="35">
        <v>46211.974330289355</v>
      </c>
      <c r="C27" s="25" t="s">
        <v>103</v>
      </c>
      <c r="D27" s="25" t="s">
        <v>104</v>
      </c>
      <c r="E27" s="25" t="s">
        <v>123</v>
      </c>
      <c r="F27" s="36">
        <v>1797785954</v>
      </c>
      <c r="G27" s="25" t="s">
        <v>62</v>
      </c>
      <c r="H27" s="25" t="s">
        <v>106</v>
      </c>
      <c r="I27" s="25"/>
      <c r="J27" s="25"/>
    </row>
    <row r="28" spans="1:10" ht="15" customHeight="1" x14ac:dyDescent="0.15">
      <c r="A28" s="37">
        <v>46211.975783483795</v>
      </c>
      <c r="B28" s="37">
        <v>46211.975783483795</v>
      </c>
      <c r="C28" s="21" t="s">
        <v>124</v>
      </c>
      <c r="D28" s="21" t="s">
        <v>125</v>
      </c>
      <c r="E28" s="21" t="s">
        <v>126</v>
      </c>
      <c r="F28" s="38">
        <v>1722814446</v>
      </c>
      <c r="G28" s="21" t="s">
        <v>62</v>
      </c>
      <c r="H28" s="21" t="s">
        <v>108</v>
      </c>
      <c r="I28" s="21"/>
      <c r="J28" s="21"/>
    </row>
    <row r="29" spans="1:10" ht="15" customHeight="1" x14ac:dyDescent="0.15">
      <c r="A29" s="35">
        <v>46211.976157418983</v>
      </c>
      <c r="B29" s="35">
        <v>46211.976157418983</v>
      </c>
      <c r="C29" s="25" t="s">
        <v>124</v>
      </c>
      <c r="D29" s="25" t="s">
        <v>125</v>
      </c>
      <c r="E29" s="25" t="s">
        <v>127</v>
      </c>
      <c r="F29" s="36">
        <v>1717331047</v>
      </c>
      <c r="G29" s="25" t="s">
        <v>62</v>
      </c>
      <c r="H29" s="25" t="s">
        <v>113</v>
      </c>
      <c r="I29" s="25"/>
      <c r="J29" s="25"/>
    </row>
    <row r="30" spans="1:10" ht="15" customHeight="1" x14ac:dyDescent="0.15">
      <c r="A30" s="37">
        <v>46211.976660173612</v>
      </c>
      <c r="B30" s="37">
        <v>46211.976660173612</v>
      </c>
      <c r="C30" s="21" t="s">
        <v>124</v>
      </c>
      <c r="D30" s="21" t="s">
        <v>125</v>
      </c>
      <c r="E30" s="21" t="s">
        <v>128</v>
      </c>
      <c r="F30" s="38">
        <v>1737147971</v>
      </c>
      <c r="G30" s="21" t="s">
        <v>62</v>
      </c>
      <c r="H30" s="21" t="s">
        <v>129</v>
      </c>
      <c r="I30" s="21"/>
      <c r="J30" s="21"/>
    </row>
    <row r="31" spans="1:10" ht="15" customHeight="1" x14ac:dyDescent="0.15">
      <c r="A31" s="35">
        <v>46211.99167033565</v>
      </c>
      <c r="B31" s="35">
        <v>46211.99167033565</v>
      </c>
      <c r="C31" s="25" t="s">
        <v>99</v>
      </c>
      <c r="D31" s="25" t="s">
        <v>100</v>
      </c>
      <c r="E31" s="25" t="s">
        <v>130</v>
      </c>
      <c r="F31" s="36">
        <v>1737665331</v>
      </c>
      <c r="G31" s="25" t="s">
        <v>62</v>
      </c>
      <c r="H31" s="25" t="s">
        <v>106</v>
      </c>
      <c r="I31" s="25"/>
      <c r="J31" s="25"/>
    </row>
    <row r="32" spans="1:10" ht="15" customHeight="1" x14ac:dyDescent="0.15">
      <c r="A32" s="21" t="s">
        <v>131</v>
      </c>
      <c r="B32" s="21" t="s">
        <v>132</v>
      </c>
      <c r="C32" s="21" t="s">
        <v>133</v>
      </c>
      <c r="D32" s="21" t="s">
        <v>58</v>
      </c>
      <c r="E32" s="21" t="s">
        <v>134</v>
      </c>
      <c r="F32" s="38">
        <v>1712653740</v>
      </c>
      <c r="G32" s="21" t="s">
        <v>62</v>
      </c>
      <c r="H32" s="21"/>
      <c r="I32" s="21"/>
      <c r="J32" s="21"/>
    </row>
    <row r="33" spans="1:10" ht="15" customHeight="1" x14ac:dyDescent="0.15">
      <c r="A33" s="25" t="s">
        <v>135</v>
      </c>
      <c r="B33" s="25" t="s">
        <v>136</v>
      </c>
      <c r="C33" s="25" t="s">
        <v>133</v>
      </c>
      <c r="D33" s="25" t="s">
        <v>58</v>
      </c>
      <c r="E33" s="25" t="s">
        <v>59</v>
      </c>
      <c r="F33" s="25">
        <v>1712653740</v>
      </c>
      <c r="G33" s="25" t="s">
        <v>62</v>
      </c>
      <c r="H33" s="25"/>
      <c r="I33" s="25"/>
      <c r="J33" s="25"/>
    </row>
    <row r="34" spans="1:10" ht="15" customHeight="1" x14ac:dyDescent="0.15">
      <c r="A34" s="146" t="s">
        <v>137</v>
      </c>
      <c r="B34" s="127"/>
      <c r="C34" s="127"/>
      <c r="D34" s="127"/>
      <c r="E34" s="127"/>
      <c r="F34" s="127"/>
      <c r="G34" s="127"/>
      <c r="H34" s="127"/>
      <c r="I34" s="127"/>
      <c r="J34" s="128"/>
    </row>
    <row r="35" spans="1:10" ht="15.75" customHeight="1" x14ac:dyDescent="0.15"/>
    <row r="36" spans="1:10" ht="15.75" customHeight="1" x14ac:dyDescent="0.15"/>
    <row r="37" spans="1:10" ht="15.75" customHeight="1" x14ac:dyDescent="0.15"/>
    <row r="38" spans="1:10" ht="15.75" customHeight="1" x14ac:dyDescent="0.15"/>
    <row r="39" spans="1:10" ht="15.75" customHeight="1" x14ac:dyDescent="0.15"/>
    <row r="40" spans="1:10" ht="15.75" customHeight="1" x14ac:dyDescent="0.15"/>
    <row r="41" spans="1:10" ht="15.75" customHeight="1" x14ac:dyDescent="0.15"/>
    <row r="42" spans="1:10" ht="15.75" customHeight="1" x14ac:dyDescent="0.15"/>
    <row r="43" spans="1:10" ht="15.75" customHeight="1" x14ac:dyDescent="0.15"/>
    <row r="44" spans="1:10" ht="15.75" customHeight="1" x14ac:dyDescent="0.15"/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J1"/>
    <mergeCell ref="A2:J2"/>
    <mergeCell ref="A3:J3"/>
    <mergeCell ref="A34:J34"/>
  </mergeCells>
  <dataValidations count="1">
    <dataValidation type="list" allowBlank="1" showErrorMessage="1" sqref="D4:D33" xr:uid="{00000000-0002-0000-0300-000000000000}">
      <formula1>"উপপরিচালক,অতিরিক্ত উপপরিচালক,উপজেলা কৃষি অফিসার,অতিরিক্ত কৃষি অফিসার,কৃষি সম্প্রসারণ অফিসার,অতিরিক্ত কৃষি সম্প্রসারণ অফিসার,উপসহকারী কৃষি কর্মকর্তা"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26" width="16.42578125" customWidth="1"/>
  </cols>
  <sheetData>
    <row r="1" spans="1:26" ht="18.75" customHeight="1" x14ac:dyDescent="0.15">
      <c r="A1" s="155" t="s">
        <v>138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33"/>
      <c r="S1" s="33"/>
      <c r="T1" s="33"/>
      <c r="U1" s="33"/>
      <c r="V1" s="33"/>
      <c r="W1" s="33"/>
      <c r="X1" s="33"/>
      <c r="Y1" s="33"/>
      <c r="Z1" s="33"/>
    </row>
    <row r="2" spans="1:26" ht="13.5" customHeight="1" x14ac:dyDescent="0.15">
      <c r="A2" s="155" t="s">
        <v>139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33"/>
      <c r="S2" s="33"/>
      <c r="T2" s="33"/>
      <c r="U2" s="33"/>
      <c r="V2" s="33"/>
      <c r="W2" s="33"/>
      <c r="X2" s="33"/>
      <c r="Y2" s="33"/>
      <c r="Z2" s="33"/>
    </row>
    <row r="3" spans="1:26" ht="13.5" customHeight="1" x14ac:dyDescent="0.1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33"/>
      <c r="S3" s="33"/>
      <c r="T3" s="33"/>
      <c r="U3" s="33"/>
      <c r="V3" s="33"/>
      <c r="W3" s="33"/>
      <c r="X3" s="33"/>
      <c r="Y3" s="33"/>
      <c r="Z3" s="33"/>
    </row>
    <row r="4" spans="1:26" ht="86.25" customHeight="1" x14ac:dyDescent="0.2">
      <c r="A4" s="39" t="s">
        <v>140</v>
      </c>
      <c r="B4" s="40" t="s">
        <v>141</v>
      </c>
      <c r="C4" s="41" t="s">
        <v>54</v>
      </c>
      <c r="D4" s="40" t="s">
        <v>142</v>
      </c>
      <c r="E4" s="40" t="s">
        <v>52</v>
      </c>
      <c r="F4" s="40" t="s">
        <v>51</v>
      </c>
      <c r="G4" s="40" t="s">
        <v>143</v>
      </c>
      <c r="H4" s="40" t="s">
        <v>144</v>
      </c>
      <c r="I4" s="40" t="s">
        <v>145</v>
      </c>
      <c r="J4" s="40" t="s">
        <v>146</v>
      </c>
      <c r="K4" s="40" t="s">
        <v>147</v>
      </c>
      <c r="L4" s="40" t="s">
        <v>148</v>
      </c>
      <c r="M4" s="40" t="s">
        <v>149</v>
      </c>
      <c r="N4" s="40" t="s">
        <v>150</v>
      </c>
      <c r="O4" s="40" t="s">
        <v>151</v>
      </c>
      <c r="P4" s="40" t="s">
        <v>152</v>
      </c>
      <c r="Q4" s="40" t="s">
        <v>153</v>
      </c>
      <c r="R4" s="42"/>
      <c r="S4" s="42"/>
      <c r="T4" s="42"/>
      <c r="U4" s="42"/>
      <c r="V4" s="42"/>
      <c r="W4" s="42"/>
      <c r="X4" s="42"/>
      <c r="Y4" s="42"/>
      <c r="Z4" s="42"/>
    </row>
    <row r="5" spans="1:26" ht="18.75" customHeight="1" x14ac:dyDescent="0.25">
      <c r="A5" s="43">
        <v>1</v>
      </c>
      <c r="B5" s="44">
        <v>2</v>
      </c>
      <c r="C5" s="44">
        <v>3</v>
      </c>
      <c r="D5" s="44">
        <v>4</v>
      </c>
      <c r="E5" s="44">
        <v>5</v>
      </c>
      <c r="F5" s="44">
        <v>6</v>
      </c>
      <c r="G5" s="44">
        <v>7</v>
      </c>
      <c r="H5" s="44">
        <v>8</v>
      </c>
      <c r="I5" s="44">
        <v>9</v>
      </c>
      <c r="J5" s="44">
        <v>10</v>
      </c>
      <c r="K5" s="44">
        <v>11</v>
      </c>
      <c r="L5" s="44">
        <v>12</v>
      </c>
      <c r="M5" s="44">
        <v>13</v>
      </c>
      <c r="N5" s="44">
        <v>14</v>
      </c>
      <c r="O5" s="44">
        <v>15</v>
      </c>
      <c r="P5" s="44">
        <v>16</v>
      </c>
      <c r="Q5" s="44">
        <v>17</v>
      </c>
      <c r="R5" s="33"/>
      <c r="S5" s="33"/>
      <c r="T5" s="33"/>
      <c r="U5" s="33"/>
      <c r="V5" s="33"/>
      <c r="W5" s="33"/>
      <c r="X5" s="33"/>
      <c r="Y5" s="33"/>
      <c r="Z5" s="33"/>
    </row>
    <row r="6" spans="1:26" ht="18" customHeight="1" x14ac:dyDescent="0.2">
      <c r="A6" s="45">
        <v>1</v>
      </c>
      <c r="B6" s="46" t="s">
        <v>154</v>
      </c>
      <c r="C6" s="46" t="s">
        <v>155</v>
      </c>
      <c r="D6" s="46" t="s">
        <v>156</v>
      </c>
      <c r="E6" s="46" t="s">
        <v>108</v>
      </c>
      <c r="F6" s="46" t="s">
        <v>157</v>
      </c>
      <c r="G6" s="46" t="s">
        <v>158</v>
      </c>
      <c r="H6" s="47">
        <v>60</v>
      </c>
      <c r="I6" s="48" t="s">
        <v>159</v>
      </c>
      <c r="J6" s="49" t="s">
        <v>160</v>
      </c>
      <c r="K6" s="50" t="s">
        <v>161</v>
      </c>
      <c r="L6" s="51">
        <v>1605042026</v>
      </c>
      <c r="M6" s="46" t="s">
        <v>162</v>
      </c>
      <c r="N6" s="52">
        <v>1703450989</v>
      </c>
      <c r="O6" s="46" t="s">
        <v>107</v>
      </c>
      <c r="P6" s="52">
        <v>1736576367</v>
      </c>
      <c r="Q6" s="49"/>
      <c r="R6" s="33"/>
      <c r="S6" s="33"/>
      <c r="T6" s="33"/>
      <c r="U6" s="33"/>
      <c r="V6" s="33"/>
      <c r="W6" s="33"/>
      <c r="X6" s="33"/>
      <c r="Y6" s="33"/>
      <c r="Z6" s="33"/>
    </row>
    <row r="7" spans="1:26" ht="18" customHeight="1" x14ac:dyDescent="0.2">
      <c r="A7" s="45">
        <f t="shared" ref="A7:A35" si="0">A6+1</f>
        <v>2</v>
      </c>
      <c r="B7" s="46" t="s">
        <v>163</v>
      </c>
      <c r="C7" s="46" t="s">
        <v>164</v>
      </c>
      <c r="D7" s="46" t="s">
        <v>165</v>
      </c>
      <c r="E7" s="46" t="s">
        <v>108</v>
      </c>
      <c r="F7" s="46" t="s">
        <v>157</v>
      </c>
      <c r="G7" s="46" t="s">
        <v>166</v>
      </c>
      <c r="H7" s="53">
        <v>85</v>
      </c>
      <c r="I7" s="48" t="s">
        <v>167</v>
      </c>
      <c r="J7" s="54" t="s">
        <v>168</v>
      </c>
      <c r="K7" s="50" t="s">
        <v>169</v>
      </c>
      <c r="L7" s="51">
        <v>1743417287</v>
      </c>
      <c r="M7" s="46" t="s">
        <v>170</v>
      </c>
      <c r="N7" s="52">
        <v>1796786131</v>
      </c>
      <c r="O7" s="46" t="s">
        <v>107</v>
      </c>
      <c r="P7" s="52">
        <v>1736576367</v>
      </c>
      <c r="Q7" s="49"/>
      <c r="R7" s="33"/>
      <c r="S7" s="33"/>
      <c r="T7" s="33"/>
      <c r="U7" s="33"/>
      <c r="V7" s="33"/>
      <c r="W7" s="33"/>
      <c r="X7" s="33"/>
      <c r="Y7" s="33"/>
      <c r="Z7" s="33"/>
    </row>
    <row r="8" spans="1:26" ht="18" customHeight="1" x14ac:dyDescent="0.2">
      <c r="A8" s="45">
        <f t="shared" si="0"/>
        <v>3</v>
      </c>
      <c r="B8" s="46" t="s">
        <v>171</v>
      </c>
      <c r="C8" s="46" t="s">
        <v>171</v>
      </c>
      <c r="D8" s="46" t="s">
        <v>108</v>
      </c>
      <c r="E8" s="46" t="s">
        <v>108</v>
      </c>
      <c r="F8" s="46" t="s">
        <v>157</v>
      </c>
      <c r="G8" s="46" t="s">
        <v>172</v>
      </c>
      <c r="H8" s="53">
        <v>33</v>
      </c>
      <c r="I8" s="48" t="s">
        <v>167</v>
      </c>
      <c r="J8" s="54" t="s">
        <v>173</v>
      </c>
      <c r="K8" s="50" t="s">
        <v>174</v>
      </c>
      <c r="L8" s="51">
        <v>1866571745</v>
      </c>
      <c r="M8" s="46" t="s">
        <v>175</v>
      </c>
      <c r="N8" s="52">
        <v>1722341441</v>
      </c>
      <c r="O8" s="46" t="s">
        <v>107</v>
      </c>
      <c r="P8" s="52">
        <v>1736576367</v>
      </c>
      <c r="Q8" s="49"/>
      <c r="R8" s="33"/>
      <c r="S8" s="33"/>
      <c r="T8" s="33"/>
      <c r="U8" s="33"/>
      <c r="V8" s="33"/>
      <c r="W8" s="33"/>
      <c r="X8" s="33"/>
      <c r="Y8" s="33"/>
      <c r="Z8" s="33"/>
    </row>
    <row r="9" spans="1:26" ht="18" customHeight="1" x14ac:dyDescent="0.2">
      <c r="A9" s="45">
        <f t="shared" si="0"/>
        <v>4</v>
      </c>
      <c r="B9" s="55" t="s">
        <v>176</v>
      </c>
      <c r="C9" s="46" t="s">
        <v>176</v>
      </c>
      <c r="D9" s="46" t="s">
        <v>177</v>
      </c>
      <c r="E9" s="46" t="s">
        <v>108</v>
      </c>
      <c r="F9" s="46" t="s">
        <v>157</v>
      </c>
      <c r="G9" s="46" t="s">
        <v>178</v>
      </c>
      <c r="H9" s="53">
        <v>220</v>
      </c>
      <c r="I9" s="48" t="s">
        <v>179</v>
      </c>
      <c r="J9" s="54" t="s">
        <v>180</v>
      </c>
      <c r="K9" s="50" t="s">
        <v>181</v>
      </c>
      <c r="L9" s="51">
        <v>1619862758</v>
      </c>
      <c r="M9" s="46" t="s">
        <v>182</v>
      </c>
      <c r="N9" s="52">
        <v>1737170939</v>
      </c>
      <c r="O9" s="46" t="s">
        <v>107</v>
      </c>
      <c r="P9" s="52">
        <v>1736576367</v>
      </c>
      <c r="Q9" s="49"/>
      <c r="R9" s="33"/>
      <c r="S9" s="33"/>
      <c r="T9" s="33"/>
      <c r="U9" s="33"/>
      <c r="V9" s="33"/>
      <c r="W9" s="33"/>
      <c r="X9" s="33"/>
      <c r="Y9" s="33"/>
      <c r="Z9" s="33"/>
    </row>
    <row r="10" spans="1:26" ht="18.75" customHeight="1" x14ac:dyDescent="0.25">
      <c r="A10" s="45">
        <f t="shared" si="0"/>
        <v>5</v>
      </c>
      <c r="B10" s="54" t="s">
        <v>183</v>
      </c>
      <c r="C10" s="54" t="s">
        <v>184</v>
      </c>
      <c r="D10" s="54" t="s">
        <v>185</v>
      </c>
      <c r="E10" s="46" t="s">
        <v>108</v>
      </c>
      <c r="F10" s="46" t="s">
        <v>157</v>
      </c>
      <c r="G10" s="54" t="s">
        <v>186</v>
      </c>
      <c r="H10" s="56">
        <v>5</v>
      </c>
      <c r="I10" s="48" t="s">
        <v>187</v>
      </c>
      <c r="J10" s="54" t="s">
        <v>188</v>
      </c>
      <c r="K10" s="54" t="s">
        <v>189</v>
      </c>
      <c r="L10" s="51">
        <v>1345741272</v>
      </c>
      <c r="M10" s="46" t="s">
        <v>190</v>
      </c>
      <c r="N10" s="57">
        <v>1723998344</v>
      </c>
      <c r="O10" s="46" t="s">
        <v>107</v>
      </c>
      <c r="P10" s="52">
        <v>1736576367</v>
      </c>
      <c r="Q10" s="49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8.75" customHeight="1" x14ac:dyDescent="0.25">
      <c r="A11" s="45">
        <f t="shared" si="0"/>
        <v>6</v>
      </c>
      <c r="B11" s="54" t="s">
        <v>191</v>
      </c>
      <c r="C11" s="54" t="s">
        <v>192</v>
      </c>
      <c r="D11" s="46" t="s">
        <v>193</v>
      </c>
      <c r="E11" s="46" t="s">
        <v>108</v>
      </c>
      <c r="F11" s="46" t="s">
        <v>157</v>
      </c>
      <c r="G11" s="54" t="s">
        <v>186</v>
      </c>
      <c r="H11" s="56">
        <v>5</v>
      </c>
      <c r="I11" s="48" t="s">
        <v>194</v>
      </c>
      <c r="J11" s="54" t="s">
        <v>195</v>
      </c>
      <c r="K11" s="54" t="s">
        <v>196</v>
      </c>
      <c r="L11" s="51">
        <v>1341532322</v>
      </c>
      <c r="M11" s="58" t="s">
        <v>197</v>
      </c>
      <c r="N11" s="52">
        <v>1710488453</v>
      </c>
      <c r="O11" s="46" t="s">
        <v>107</v>
      </c>
      <c r="P11" s="52">
        <v>1736576367</v>
      </c>
      <c r="Q11" s="49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8.75" customHeight="1" x14ac:dyDescent="0.25">
      <c r="A12" s="45">
        <f t="shared" si="0"/>
        <v>7</v>
      </c>
      <c r="B12" s="54" t="s">
        <v>198</v>
      </c>
      <c r="C12" s="54" t="s">
        <v>185</v>
      </c>
      <c r="D12" s="54" t="s">
        <v>185</v>
      </c>
      <c r="E12" s="46" t="s">
        <v>108</v>
      </c>
      <c r="F12" s="46" t="s">
        <v>157</v>
      </c>
      <c r="G12" s="54" t="s">
        <v>186</v>
      </c>
      <c r="H12" s="56">
        <v>5</v>
      </c>
      <c r="I12" s="48" t="s">
        <v>187</v>
      </c>
      <c r="J12" s="54" t="s">
        <v>199</v>
      </c>
      <c r="K12" s="54" t="s">
        <v>200</v>
      </c>
      <c r="L12" s="51">
        <v>17408928422</v>
      </c>
      <c r="M12" s="46" t="s">
        <v>162</v>
      </c>
      <c r="N12" s="52">
        <v>1703450989</v>
      </c>
      <c r="O12" s="46" t="s">
        <v>107</v>
      </c>
      <c r="P12" s="52">
        <v>1736576367</v>
      </c>
      <c r="Q12" s="49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8.75" customHeight="1" x14ac:dyDescent="0.25">
      <c r="A13" s="45">
        <f t="shared" si="0"/>
        <v>8</v>
      </c>
      <c r="B13" s="54" t="s">
        <v>201</v>
      </c>
      <c r="C13" s="54" t="s">
        <v>201</v>
      </c>
      <c r="D13" s="54" t="s">
        <v>165</v>
      </c>
      <c r="E13" s="46" t="s">
        <v>108</v>
      </c>
      <c r="F13" s="46" t="s">
        <v>157</v>
      </c>
      <c r="G13" s="54" t="s">
        <v>186</v>
      </c>
      <c r="H13" s="56">
        <v>5</v>
      </c>
      <c r="I13" s="48" t="s">
        <v>194</v>
      </c>
      <c r="J13" s="54" t="s">
        <v>202</v>
      </c>
      <c r="K13" s="54" t="s">
        <v>203</v>
      </c>
      <c r="L13" s="51">
        <v>1951945636</v>
      </c>
      <c r="M13" s="46" t="s">
        <v>204</v>
      </c>
      <c r="N13" s="57">
        <v>1716409456</v>
      </c>
      <c r="O13" s="46" t="s">
        <v>107</v>
      </c>
      <c r="P13" s="52">
        <v>1736576367</v>
      </c>
      <c r="Q13" s="49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8.75" customHeight="1" x14ac:dyDescent="0.25">
      <c r="A14" s="45">
        <f t="shared" si="0"/>
        <v>9</v>
      </c>
      <c r="B14" s="54" t="s">
        <v>205</v>
      </c>
      <c r="C14" s="54" t="s">
        <v>201</v>
      </c>
      <c r="D14" s="54" t="s">
        <v>165</v>
      </c>
      <c r="E14" s="46" t="s">
        <v>108</v>
      </c>
      <c r="F14" s="46" t="s">
        <v>157</v>
      </c>
      <c r="G14" s="54" t="s">
        <v>186</v>
      </c>
      <c r="H14" s="56">
        <v>5</v>
      </c>
      <c r="I14" s="48" t="s">
        <v>187</v>
      </c>
      <c r="J14" s="54" t="s">
        <v>206</v>
      </c>
      <c r="K14" s="54" t="s">
        <v>207</v>
      </c>
      <c r="L14" s="51">
        <v>1936416820</v>
      </c>
      <c r="M14" s="46" t="s">
        <v>204</v>
      </c>
      <c r="N14" s="57">
        <v>1716409456</v>
      </c>
      <c r="O14" s="46" t="s">
        <v>107</v>
      </c>
      <c r="P14" s="52">
        <v>1736576367</v>
      </c>
      <c r="Q14" s="49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8.75" customHeight="1" x14ac:dyDescent="0.25">
      <c r="A15" s="45">
        <f t="shared" si="0"/>
        <v>10</v>
      </c>
      <c r="B15" s="54" t="s">
        <v>208</v>
      </c>
      <c r="C15" s="46" t="s">
        <v>209</v>
      </c>
      <c r="D15" s="46" t="s">
        <v>210</v>
      </c>
      <c r="E15" s="46" t="s">
        <v>108</v>
      </c>
      <c r="F15" s="46" t="s">
        <v>157</v>
      </c>
      <c r="G15" s="54" t="s">
        <v>186</v>
      </c>
      <c r="H15" s="56">
        <v>5</v>
      </c>
      <c r="I15" s="48" t="s">
        <v>159</v>
      </c>
      <c r="J15" s="54" t="s">
        <v>211</v>
      </c>
      <c r="K15" s="54" t="s">
        <v>212</v>
      </c>
      <c r="L15" s="51">
        <v>1402666530</v>
      </c>
      <c r="M15" s="46" t="s">
        <v>213</v>
      </c>
      <c r="N15" s="57">
        <v>1710648396</v>
      </c>
      <c r="O15" s="46" t="s">
        <v>107</v>
      </c>
      <c r="P15" s="52">
        <v>1736576367</v>
      </c>
      <c r="Q15" s="49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" customHeight="1" x14ac:dyDescent="0.2">
      <c r="A16" s="45">
        <f t="shared" si="0"/>
        <v>11</v>
      </c>
      <c r="B16" s="59" t="s">
        <v>214</v>
      </c>
      <c r="C16" s="59" t="s">
        <v>215</v>
      </c>
      <c r="D16" s="59" t="s">
        <v>216</v>
      </c>
      <c r="E16" s="59" t="s">
        <v>217</v>
      </c>
      <c r="F16" s="59" t="s">
        <v>157</v>
      </c>
      <c r="G16" s="59" t="s">
        <v>218</v>
      </c>
      <c r="H16" s="60">
        <v>33</v>
      </c>
      <c r="I16" s="61">
        <v>46301</v>
      </c>
      <c r="J16" s="59" t="s">
        <v>219</v>
      </c>
      <c r="K16" s="59" t="s">
        <v>220</v>
      </c>
      <c r="L16" s="62">
        <v>1986109788</v>
      </c>
      <c r="M16" s="59" t="s">
        <v>221</v>
      </c>
      <c r="N16" s="63">
        <v>1717919551</v>
      </c>
      <c r="O16" s="59" t="s">
        <v>222</v>
      </c>
      <c r="P16" s="64">
        <v>1727358724</v>
      </c>
      <c r="Q16" s="49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" customHeight="1" x14ac:dyDescent="0.2">
      <c r="A17" s="45">
        <f t="shared" si="0"/>
        <v>12</v>
      </c>
      <c r="B17" s="59" t="s">
        <v>223</v>
      </c>
      <c r="C17" s="59" t="s">
        <v>217</v>
      </c>
      <c r="D17" s="59" t="s">
        <v>217</v>
      </c>
      <c r="E17" s="59" t="s">
        <v>217</v>
      </c>
      <c r="F17" s="59" t="s">
        <v>157</v>
      </c>
      <c r="G17" s="59" t="s">
        <v>224</v>
      </c>
      <c r="H17" s="63">
        <v>85</v>
      </c>
      <c r="I17" s="61">
        <v>46301</v>
      </c>
      <c r="J17" s="59" t="s">
        <v>225</v>
      </c>
      <c r="K17" s="59" t="s">
        <v>226</v>
      </c>
      <c r="L17" s="62">
        <v>1608537214</v>
      </c>
      <c r="M17" s="59" t="s">
        <v>227</v>
      </c>
      <c r="N17" s="63">
        <v>1728118647</v>
      </c>
      <c r="O17" s="59" t="s">
        <v>222</v>
      </c>
      <c r="P17" s="63">
        <v>1727358724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" customHeight="1" x14ac:dyDescent="0.2">
      <c r="A18" s="45">
        <f t="shared" si="0"/>
        <v>13</v>
      </c>
      <c r="B18" s="59" t="s">
        <v>228</v>
      </c>
      <c r="C18" s="59" t="s">
        <v>229</v>
      </c>
      <c r="D18" s="59" t="s">
        <v>229</v>
      </c>
      <c r="E18" s="59" t="s">
        <v>217</v>
      </c>
      <c r="F18" s="59" t="s">
        <v>157</v>
      </c>
      <c r="G18" s="59" t="s">
        <v>230</v>
      </c>
      <c r="H18" s="63">
        <v>60</v>
      </c>
      <c r="I18" s="61">
        <v>46301</v>
      </c>
      <c r="J18" s="59" t="s">
        <v>231</v>
      </c>
      <c r="K18" s="59" t="s">
        <v>232</v>
      </c>
      <c r="L18" s="65" t="s">
        <v>233</v>
      </c>
      <c r="M18" s="59" t="s">
        <v>234</v>
      </c>
      <c r="N18" s="63">
        <v>1735972448</v>
      </c>
      <c r="O18" s="59" t="s">
        <v>222</v>
      </c>
      <c r="P18" s="63">
        <v>1727358724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" customHeight="1" x14ac:dyDescent="0.2">
      <c r="A19" s="45">
        <f t="shared" si="0"/>
        <v>14</v>
      </c>
      <c r="B19" s="66" t="s">
        <v>235</v>
      </c>
      <c r="C19" s="66" t="s">
        <v>236</v>
      </c>
      <c r="D19" s="66" t="s">
        <v>229</v>
      </c>
      <c r="E19" s="66" t="s">
        <v>217</v>
      </c>
      <c r="F19" s="66" t="s">
        <v>157</v>
      </c>
      <c r="G19" s="66" t="s">
        <v>237</v>
      </c>
      <c r="H19" s="67">
        <v>220</v>
      </c>
      <c r="I19" s="68">
        <v>46301</v>
      </c>
      <c r="J19" s="66" t="s">
        <v>238</v>
      </c>
      <c r="K19" s="66" t="s">
        <v>239</v>
      </c>
      <c r="L19" s="69">
        <v>1987879620</v>
      </c>
      <c r="M19" s="66" t="s">
        <v>240</v>
      </c>
      <c r="N19" s="67">
        <v>1948827026</v>
      </c>
      <c r="O19" s="66" t="s">
        <v>222</v>
      </c>
      <c r="P19" s="67">
        <v>1727358724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" customHeight="1" x14ac:dyDescent="0.2">
      <c r="A20" s="45">
        <f t="shared" si="0"/>
        <v>15</v>
      </c>
      <c r="B20" s="70" t="s">
        <v>241</v>
      </c>
      <c r="C20" s="70" t="s">
        <v>242</v>
      </c>
      <c r="D20" s="70" t="s">
        <v>243</v>
      </c>
      <c r="E20" s="70" t="s">
        <v>119</v>
      </c>
      <c r="F20" s="70" t="s">
        <v>157</v>
      </c>
      <c r="G20" s="70" t="s">
        <v>244</v>
      </c>
      <c r="H20" s="71">
        <v>33</v>
      </c>
      <c r="I20" s="72" t="s">
        <v>187</v>
      </c>
      <c r="J20" s="46" t="s">
        <v>245</v>
      </c>
      <c r="K20" s="46" t="s">
        <v>246</v>
      </c>
      <c r="L20" s="52">
        <v>1712145029</v>
      </c>
      <c r="M20" s="46" t="s">
        <v>247</v>
      </c>
      <c r="N20" s="52">
        <v>1723734671</v>
      </c>
      <c r="O20" s="46" t="s">
        <v>247</v>
      </c>
      <c r="P20" s="73">
        <v>1723734671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">
      <c r="A21" s="45">
        <f t="shared" si="0"/>
        <v>16</v>
      </c>
      <c r="B21" s="70" t="s">
        <v>248</v>
      </c>
      <c r="C21" s="70" t="s">
        <v>249</v>
      </c>
      <c r="D21" s="70" t="s">
        <v>250</v>
      </c>
      <c r="E21" s="70" t="s">
        <v>119</v>
      </c>
      <c r="F21" s="70" t="s">
        <v>157</v>
      </c>
      <c r="G21" s="70" t="s">
        <v>251</v>
      </c>
      <c r="H21" s="74">
        <v>220</v>
      </c>
      <c r="I21" s="72" t="s">
        <v>187</v>
      </c>
      <c r="J21" s="46" t="s">
        <v>252</v>
      </c>
      <c r="K21" s="46" t="s">
        <v>253</v>
      </c>
      <c r="L21" s="52">
        <v>1701998933</v>
      </c>
      <c r="M21" s="46" t="s">
        <v>254</v>
      </c>
      <c r="N21" s="52">
        <v>1737889521</v>
      </c>
      <c r="O21" s="46" t="s">
        <v>254</v>
      </c>
      <c r="P21" s="73">
        <v>1737889521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">
      <c r="A22" s="45">
        <f t="shared" si="0"/>
        <v>17</v>
      </c>
      <c r="B22" s="70" t="s">
        <v>255</v>
      </c>
      <c r="C22" s="70" t="s">
        <v>256</v>
      </c>
      <c r="D22" s="70" t="s">
        <v>257</v>
      </c>
      <c r="E22" s="70" t="s">
        <v>119</v>
      </c>
      <c r="F22" s="70" t="s">
        <v>157</v>
      </c>
      <c r="G22" s="70" t="s">
        <v>258</v>
      </c>
      <c r="H22" s="74">
        <v>85</v>
      </c>
      <c r="I22" s="72" t="s">
        <v>159</v>
      </c>
      <c r="J22" s="46" t="s">
        <v>259</v>
      </c>
      <c r="K22" s="46" t="s">
        <v>260</v>
      </c>
      <c r="L22" s="52">
        <v>1722934135</v>
      </c>
      <c r="M22" s="75" t="s">
        <v>261</v>
      </c>
      <c r="N22" s="52">
        <v>1741799424</v>
      </c>
      <c r="O22" s="75" t="s">
        <v>261</v>
      </c>
      <c r="P22" s="73">
        <v>1741799424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">
      <c r="A23" s="45">
        <f t="shared" si="0"/>
        <v>18</v>
      </c>
      <c r="B23" s="70" t="s">
        <v>262</v>
      </c>
      <c r="C23" s="70" t="s">
        <v>263</v>
      </c>
      <c r="D23" s="70" t="s">
        <v>264</v>
      </c>
      <c r="E23" s="70" t="s">
        <v>119</v>
      </c>
      <c r="F23" s="70" t="s">
        <v>157</v>
      </c>
      <c r="G23" s="70" t="s">
        <v>265</v>
      </c>
      <c r="H23" s="74">
        <v>60</v>
      </c>
      <c r="I23" s="72" t="s">
        <v>266</v>
      </c>
      <c r="J23" s="46" t="s">
        <v>267</v>
      </c>
      <c r="K23" s="46" t="s">
        <v>268</v>
      </c>
      <c r="L23" s="52">
        <v>1713636682</v>
      </c>
      <c r="M23" s="46" t="s">
        <v>254</v>
      </c>
      <c r="N23" s="73">
        <v>1737889521</v>
      </c>
      <c r="O23" s="46" t="s">
        <v>254</v>
      </c>
      <c r="P23" s="73">
        <v>1737889521</v>
      </c>
      <c r="Q23" s="76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5">
      <c r="A24" s="45">
        <f t="shared" si="0"/>
        <v>19</v>
      </c>
      <c r="B24" s="77" t="s">
        <v>269</v>
      </c>
      <c r="C24" s="77" t="s">
        <v>270</v>
      </c>
      <c r="D24" s="77" t="s">
        <v>271</v>
      </c>
      <c r="E24" s="77" t="s">
        <v>272</v>
      </c>
      <c r="F24" s="77" t="s">
        <v>157</v>
      </c>
      <c r="G24" s="78" t="s">
        <v>172</v>
      </c>
      <c r="H24" s="78">
        <v>80</v>
      </c>
      <c r="I24" s="78" t="s">
        <v>273</v>
      </c>
      <c r="J24" s="78" t="s">
        <v>274</v>
      </c>
      <c r="K24" s="77" t="s">
        <v>275</v>
      </c>
      <c r="L24" s="78">
        <v>1858329201</v>
      </c>
      <c r="M24" s="78" t="s">
        <v>276</v>
      </c>
      <c r="N24" s="79">
        <v>1303614632</v>
      </c>
      <c r="O24" s="77" t="s">
        <v>277</v>
      </c>
      <c r="P24" s="79">
        <v>1722683291</v>
      </c>
      <c r="Q24" s="49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5">
      <c r="A25" s="45">
        <f t="shared" si="0"/>
        <v>20</v>
      </c>
      <c r="B25" s="77" t="s">
        <v>278</v>
      </c>
      <c r="C25" s="77" t="s">
        <v>278</v>
      </c>
      <c r="D25" s="77" t="s">
        <v>279</v>
      </c>
      <c r="E25" s="77" t="s">
        <v>272</v>
      </c>
      <c r="F25" s="77" t="s">
        <v>157</v>
      </c>
      <c r="G25" s="78" t="s">
        <v>158</v>
      </c>
      <c r="H25" s="78">
        <v>100</v>
      </c>
      <c r="I25" s="78" t="s">
        <v>280</v>
      </c>
      <c r="J25" s="78" t="s">
        <v>281</v>
      </c>
      <c r="K25" s="77" t="s">
        <v>282</v>
      </c>
      <c r="L25" s="78">
        <v>1731200744</v>
      </c>
      <c r="M25" s="78" t="s">
        <v>283</v>
      </c>
      <c r="N25" s="79">
        <v>1717813138</v>
      </c>
      <c r="O25" s="77" t="s">
        <v>277</v>
      </c>
      <c r="P25" s="79">
        <v>1722683292</v>
      </c>
      <c r="Q25" s="49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5">
      <c r="A26" s="45">
        <f t="shared" si="0"/>
        <v>21</v>
      </c>
      <c r="B26" s="77" t="s">
        <v>284</v>
      </c>
      <c r="C26" s="77" t="s">
        <v>285</v>
      </c>
      <c r="D26" s="77" t="s">
        <v>285</v>
      </c>
      <c r="E26" s="77" t="s">
        <v>272</v>
      </c>
      <c r="F26" s="77" t="s">
        <v>157</v>
      </c>
      <c r="G26" s="78" t="s">
        <v>286</v>
      </c>
      <c r="H26" s="78">
        <v>100</v>
      </c>
      <c r="I26" s="78" t="s">
        <v>287</v>
      </c>
      <c r="J26" s="78" t="s">
        <v>288</v>
      </c>
      <c r="K26" s="77" t="s">
        <v>289</v>
      </c>
      <c r="L26" s="78">
        <v>1728861333</v>
      </c>
      <c r="M26" s="78" t="s">
        <v>290</v>
      </c>
      <c r="N26" s="79">
        <v>1737084909</v>
      </c>
      <c r="O26" s="77" t="s">
        <v>277</v>
      </c>
      <c r="P26" s="79">
        <v>1722683293</v>
      </c>
      <c r="Q26" s="49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5">
      <c r="A27" s="45">
        <f t="shared" si="0"/>
        <v>22</v>
      </c>
      <c r="B27" s="77" t="s">
        <v>291</v>
      </c>
      <c r="C27" s="77" t="s">
        <v>292</v>
      </c>
      <c r="D27" s="77" t="s">
        <v>292</v>
      </c>
      <c r="E27" s="77" t="s">
        <v>272</v>
      </c>
      <c r="F27" s="77" t="s">
        <v>157</v>
      </c>
      <c r="G27" s="78" t="s">
        <v>286</v>
      </c>
      <c r="H27" s="78">
        <v>100</v>
      </c>
      <c r="I27" s="80">
        <v>46179</v>
      </c>
      <c r="J27" s="78" t="s">
        <v>293</v>
      </c>
      <c r="K27" s="77" t="s">
        <v>294</v>
      </c>
      <c r="L27" s="78">
        <v>1746623433</v>
      </c>
      <c r="M27" s="78" t="s">
        <v>295</v>
      </c>
      <c r="N27" s="79">
        <v>1739011877</v>
      </c>
      <c r="O27" s="77" t="s">
        <v>277</v>
      </c>
      <c r="P27" s="79">
        <v>1722683294</v>
      </c>
      <c r="Q27" s="49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5">
      <c r="A28" s="45">
        <f t="shared" si="0"/>
        <v>23</v>
      </c>
      <c r="B28" s="77" t="s">
        <v>296</v>
      </c>
      <c r="C28" s="77" t="s">
        <v>297</v>
      </c>
      <c r="D28" s="77" t="s">
        <v>298</v>
      </c>
      <c r="E28" s="77" t="s">
        <v>272</v>
      </c>
      <c r="F28" s="77" t="s">
        <v>157</v>
      </c>
      <c r="G28" s="78" t="s">
        <v>178</v>
      </c>
      <c r="H28" s="78">
        <v>100</v>
      </c>
      <c r="I28" s="80">
        <v>46301</v>
      </c>
      <c r="J28" s="78" t="s">
        <v>299</v>
      </c>
      <c r="K28" s="77" t="s">
        <v>300</v>
      </c>
      <c r="L28" s="78">
        <v>1744538755</v>
      </c>
      <c r="M28" s="78" t="s">
        <v>294</v>
      </c>
      <c r="N28" s="79">
        <v>1737458464</v>
      </c>
      <c r="O28" s="77" t="s">
        <v>277</v>
      </c>
      <c r="P28" s="79">
        <v>1722683295</v>
      </c>
      <c r="Q28" s="49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45">
        <f t="shared" si="0"/>
        <v>24</v>
      </c>
      <c r="B29" s="77" t="s">
        <v>296</v>
      </c>
      <c r="C29" s="77" t="s">
        <v>297</v>
      </c>
      <c r="D29" s="77" t="s">
        <v>298</v>
      </c>
      <c r="E29" s="77" t="s">
        <v>272</v>
      </c>
      <c r="F29" s="77" t="s">
        <v>157</v>
      </c>
      <c r="G29" s="78" t="s">
        <v>178</v>
      </c>
      <c r="H29" s="78">
        <v>100</v>
      </c>
      <c r="I29" s="80">
        <v>46302</v>
      </c>
      <c r="J29" s="78" t="s">
        <v>301</v>
      </c>
      <c r="K29" s="77" t="s">
        <v>302</v>
      </c>
      <c r="L29" s="78">
        <v>1793501760</v>
      </c>
      <c r="M29" s="78" t="s">
        <v>294</v>
      </c>
      <c r="N29" s="79">
        <v>1737458465</v>
      </c>
      <c r="O29" s="77" t="s">
        <v>277</v>
      </c>
      <c r="P29" s="79">
        <v>1722683296</v>
      </c>
      <c r="Q29" s="49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5">
      <c r="A30" s="45">
        <f t="shared" si="0"/>
        <v>25</v>
      </c>
      <c r="B30" s="77" t="s">
        <v>303</v>
      </c>
      <c r="C30" s="77" t="s">
        <v>303</v>
      </c>
      <c r="D30" s="77" t="s">
        <v>304</v>
      </c>
      <c r="E30" s="77" t="s">
        <v>272</v>
      </c>
      <c r="F30" s="77" t="s">
        <v>157</v>
      </c>
      <c r="G30" s="78" t="s">
        <v>286</v>
      </c>
      <c r="H30" s="78">
        <v>100</v>
      </c>
      <c r="I30" s="78" t="s">
        <v>305</v>
      </c>
      <c r="J30" s="78" t="s">
        <v>306</v>
      </c>
      <c r="K30" s="77" t="s">
        <v>307</v>
      </c>
      <c r="L30" s="78">
        <v>1701423435</v>
      </c>
      <c r="M30" s="78" t="s">
        <v>308</v>
      </c>
      <c r="N30" s="79">
        <v>1783116904</v>
      </c>
      <c r="O30" s="77" t="s">
        <v>277</v>
      </c>
      <c r="P30" s="79">
        <v>1722683297</v>
      </c>
      <c r="Q30" s="49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5">
      <c r="A31" s="45">
        <f t="shared" si="0"/>
        <v>26</v>
      </c>
      <c r="B31" s="77" t="s">
        <v>309</v>
      </c>
      <c r="C31" s="77" t="s">
        <v>309</v>
      </c>
      <c r="D31" s="77" t="s">
        <v>279</v>
      </c>
      <c r="E31" s="77" t="s">
        <v>272</v>
      </c>
      <c r="F31" s="77" t="s">
        <v>157</v>
      </c>
      <c r="G31" s="78" t="s">
        <v>172</v>
      </c>
      <c r="H31" s="78">
        <v>33</v>
      </c>
      <c r="I31" s="81">
        <v>46059</v>
      </c>
      <c r="J31" s="78" t="s">
        <v>310</v>
      </c>
      <c r="K31" s="77" t="s">
        <v>311</v>
      </c>
      <c r="L31" s="78">
        <v>1712046367</v>
      </c>
      <c r="M31" s="78" t="s">
        <v>283</v>
      </c>
      <c r="N31" s="79">
        <v>1717813138</v>
      </c>
      <c r="O31" s="77" t="s">
        <v>277</v>
      </c>
      <c r="P31" s="79">
        <v>1722683298</v>
      </c>
      <c r="Q31" s="49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5">
      <c r="A32" s="45">
        <f t="shared" si="0"/>
        <v>27</v>
      </c>
      <c r="B32" s="77" t="s">
        <v>284</v>
      </c>
      <c r="C32" s="77" t="s">
        <v>285</v>
      </c>
      <c r="D32" s="77" t="s">
        <v>285</v>
      </c>
      <c r="E32" s="77" t="s">
        <v>272</v>
      </c>
      <c r="F32" s="77" t="s">
        <v>157</v>
      </c>
      <c r="G32" s="78" t="s">
        <v>166</v>
      </c>
      <c r="H32" s="78">
        <v>85</v>
      </c>
      <c r="I32" s="78" t="s">
        <v>312</v>
      </c>
      <c r="J32" s="78" t="s">
        <v>313</v>
      </c>
      <c r="K32" s="77" t="s">
        <v>314</v>
      </c>
      <c r="L32" s="78">
        <v>1774361298</v>
      </c>
      <c r="M32" s="78" t="s">
        <v>290</v>
      </c>
      <c r="N32" s="79">
        <v>1737084909</v>
      </c>
      <c r="O32" s="77" t="s">
        <v>277</v>
      </c>
      <c r="P32" s="79">
        <v>1722683299</v>
      </c>
      <c r="Q32" s="49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5">
      <c r="A33" s="45">
        <f t="shared" si="0"/>
        <v>28</v>
      </c>
      <c r="B33" s="77" t="s">
        <v>315</v>
      </c>
      <c r="C33" s="77" t="s">
        <v>271</v>
      </c>
      <c r="D33" s="77" t="s">
        <v>271</v>
      </c>
      <c r="E33" s="77" t="s">
        <v>272</v>
      </c>
      <c r="F33" s="77" t="s">
        <v>157</v>
      </c>
      <c r="G33" s="78" t="s">
        <v>158</v>
      </c>
      <c r="H33" s="78">
        <v>60</v>
      </c>
      <c r="I33" s="82">
        <v>46028</v>
      </c>
      <c r="J33" s="78" t="s">
        <v>316</v>
      </c>
      <c r="K33" s="77" t="s">
        <v>317</v>
      </c>
      <c r="L33" s="78">
        <v>1642860652</v>
      </c>
      <c r="M33" s="78" t="s">
        <v>276</v>
      </c>
      <c r="N33" s="79">
        <v>1303614632</v>
      </c>
      <c r="O33" s="77" t="s">
        <v>277</v>
      </c>
      <c r="P33" s="79">
        <v>1722683300</v>
      </c>
      <c r="Q33" s="49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5">
      <c r="A34" s="45">
        <f t="shared" si="0"/>
        <v>29</v>
      </c>
      <c r="B34" s="77" t="s">
        <v>296</v>
      </c>
      <c r="C34" s="77" t="s">
        <v>297</v>
      </c>
      <c r="D34" s="77" t="s">
        <v>298</v>
      </c>
      <c r="E34" s="77" t="s">
        <v>272</v>
      </c>
      <c r="F34" s="77" t="s">
        <v>157</v>
      </c>
      <c r="G34" s="78" t="s">
        <v>178</v>
      </c>
      <c r="H34" s="78">
        <v>220</v>
      </c>
      <c r="I34" s="82">
        <v>46087</v>
      </c>
      <c r="J34" s="78" t="s">
        <v>318</v>
      </c>
      <c r="K34" s="77" t="s">
        <v>319</v>
      </c>
      <c r="L34" s="78">
        <v>1774361415</v>
      </c>
      <c r="M34" s="78" t="s">
        <v>294</v>
      </c>
      <c r="N34" s="79">
        <v>1737458465</v>
      </c>
      <c r="O34" s="77" t="s">
        <v>277</v>
      </c>
      <c r="P34" s="79">
        <v>1722683301</v>
      </c>
      <c r="Q34" s="49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5">
      <c r="A35" s="45">
        <f t="shared" si="0"/>
        <v>30</v>
      </c>
      <c r="B35" s="77" t="s">
        <v>320</v>
      </c>
      <c r="C35" s="77" t="s">
        <v>320</v>
      </c>
      <c r="D35" s="77" t="s">
        <v>320</v>
      </c>
      <c r="E35" s="77" t="s">
        <v>272</v>
      </c>
      <c r="F35" s="77" t="s">
        <v>157</v>
      </c>
      <c r="G35" s="78" t="s">
        <v>178</v>
      </c>
      <c r="H35" s="78">
        <v>150</v>
      </c>
      <c r="I35" s="78" t="s">
        <v>321</v>
      </c>
      <c r="J35" s="77" t="s">
        <v>322</v>
      </c>
      <c r="K35" s="77" t="s">
        <v>323</v>
      </c>
      <c r="L35" s="78">
        <v>1763219488</v>
      </c>
      <c r="M35" s="78" t="s">
        <v>324</v>
      </c>
      <c r="N35" s="79">
        <v>1401146432</v>
      </c>
      <c r="O35" s="77" t="s">
        <v>277</v>
      </c>
      <c r="P35" s="79">
        <v>1722683302</v>
      </c>
      <c r="Q35" s="49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1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15">
      <c r="A37" s="33"/>
      <c r="B37" s="76"/>
      <c r="C37" s="76"/>
      <c r="D37" s="76"/>
      <c r="E37" s="76"/>
      <c r="F37" s="76"/>
      <c r="G37" s="76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15">
      <c r="A38" s="83"/>
      <c r="B38" s="49"/>
      <c r="C38" s="49"/>
      <c r="D38" s="49"/>
      <c r="E38" s="49"/>
      <c r="F38" s="49"/>
      <c r="G38" s="49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1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1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1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1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15">
      <c r="A43" s="33"/>
      <c r="B43" s="76"/>
      <c r="C43" s="76"/>
      <c r="D43" s="76"/>
      <c r="E43" s="76"/>
      <c r="F43" s="76"/>
      <c r="G43" s="76"/>
      <c r="H43" s="76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15">
      <c r="A44" s="83"/>
      <c r="B44" s="49"/>
      <c r="C44" s="49"/>
      <c r="D44" s="49"/>
      <c r="E44" s="49"/>
      <c r="F44" s="49"/>
      <c r="G44" s="49"/>
      <c r="H44" s="49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1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1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1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1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15">
      <c r="A49" s="76"/>
      <c r="B49" s="76"/>
      <c r="C49" s="76"/>
      <c r="D49" s="76"/>
      <c r="E49" s="76"/>
      <c r="F49" s="76"/>
      <c r="G49" s="76"/>
      <c r="H49" s="76"/>
      <c r="I49" s="76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15">
      <c r="A50" s="84"/>
      <c r="B50" s="49"/>
      <c r="C50" s="49"/>
      <c r="D50" s="49"/>
      <c r="E50" s="49"/>
      <c r="F50" s="49"/>
      <c r="G50" s="49"/>
      <c r="H50" s="49"/>
      <c r="I50" s="49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1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1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1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1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1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1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1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1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1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1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1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1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1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1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1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1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1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1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1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1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1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1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1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1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1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1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1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1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1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1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1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1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1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1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1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1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1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1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1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1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1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1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1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1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1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1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1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1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1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1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1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1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1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1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1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1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1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1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1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1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1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1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1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1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1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1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1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1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1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1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1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1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1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1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1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1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1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1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1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1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1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1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1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1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1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1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1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1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1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1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1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1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1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1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1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1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1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1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1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1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1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1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1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1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1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1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1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1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1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1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1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1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1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1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1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1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1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1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1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1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1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1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1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1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1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1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 x14ac:dyDescent="0.1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1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 x14ac:dyDescent="0.1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 x14ac:dyDescent="0.1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 x14ac:dyDescent="0.1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 x14ac:dyDescent="0.1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 x14ac:dyDescent="0.1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 x14ac:dyDescent="0.1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 x14ac:dyDescent="0.1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 x14ac:dyDescent="0.1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 x14ac:dyDescent="0.1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Q1"/>
    <mergeCell ref="A2:Q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8.578125" customWidth="1"/>
    <col min="2" max="4" width="19.98046875" customWidth="1"/>
    <col min="5" max="5" width="24.2734375" customWidth="1"/>
    <col min="6" max="6" width="14.21875" customWidth="1"/>
    <col min="7" max="16" width="15.69140625" customWidth="1"/>
    <col min="17" max="26" width="16.42578125" customWidth="1"/>
  </cols>
  <sheetData>
    <row r="1" spans="1:26" ht="24" customHeight="1" x14ac:dyDescent="0.15">
      <c r="A1" s="149" t="s">
        <v>325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8"/>
    </row>
    <row r="2" spans="1:26" ht="16.5" customHeight="1" x14ac:dyDescent="0.15">
      <c r="A2" s="150" t="s">
        <v>326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</row>
    <row r="3" spans="1:26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8"/>
    </row>
    <row r="4" spans="1:26" ht="22.5" customHeight="1" x14ac:dyDescent="0.15">
      <c r="A4" s="85" t="s">
        <v>327</v>
      </c>
      <c r="B4" s="85" t="s">
        <v>328</v>
      </c>
      <c r="C4" s="85" t="s">
        <v>51</v>
      </c>
      <c r="D4" s="85" t="s">
        <v>52</v>
      </c>
      <c r="E4" s="85" t="s">
        <v>329</v>
      </c>
      <c r="F4" s="85" t="s">
        <v>330</v>
      </c>
      <c r="G4" s="85" t="s">
        <v>331</v>
      </c>
      <c r="H4" s="85" t="s">
        <v>332</v>
      </c>
      <c r="I4" s="85" t="s">
        <v>333</v>
      </c>
      <c r="J4" s="85" t="s">
        <v>147</v>
      </c>
      <c r="K4" s="85" t="s">
        <v>334</v>
      </c>
      <c r="L4" s="85" t="s">
        <v>335</v>
      </c>
      <c r="M4" s="85" t="s">
        <v>336</v>
      </c>
      <c r="N4" s="85" t="s">
        <v>337</v>
      </c>
      <c r="O4" s="85" t="s">
        <v>152</v>
      </c>
      <c r="P4" s="85" t="s">
        <v>153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" customHeight="1" x14ac:dyDescent="0.15">
      <c r="A5" s="86" t="s">
        <v>338</v>
      </c>
      <c r="B5" s="86" t="s">
        <v>339</v>
      </c>
      <c r="C5" s="86" t="s">
        <v>157</v>
      </c>
      <c r="D5" s="86" t="s">
        <v>340</v>
      </c>
      <c r="E5" s="86" t="s">
        <v>341</v>
      </c>
      <c r="F5" s="86">
        <v>85</v>
      </c>
      <c r="G5" s="87">
        <v>46152</v>
      </c>
      <c r="H5" s="86">
        <v>25.755590999999999</v>
      </c>
      <c r="I5" s="86">
        <v>89.657639000000003</v>
      </c>
      <c r="J5" s="86" t="s">
        <v>342</v>
      </c>
      <c r="K5" s="86" t="s">
        <v>343</v>
      </c>
      <c r="L5" s="86" t="s">
        <v>344</v>
      </c>
      <c r="M5" s="86" t="s">
        <v>345</v>
      </c>
      <c r="N5" s="86"/>
      <c r="O5" s="86"/>
      <c r="P5" s="86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" customHeight="1" x14ac:dyDescent="0.15">
      <c r="A6" s="88" t="s">
        <v>346</v>
      </c>
      <c r="B6" s="88" t="s">
        <v>339</v>
      </c>
      <c r="C6" s="88" t="s">
        <v>157</v>
      </c>
      <c r="D6" s="88" t="s">
        <v>340</v>
      </c>
      <c r="E6" s="88" t="s">
        <v>347</v>
      </c>
      <c r="F6" s="88">
        <v>60</v>
      </c>
      <c r="G6" s="89">
        <v>46177</v>
      </c>
      <c r="H6" s="88">
        <v>25.826720999999999</v>
      </c>
      <c r="I6" s="88">
        <v>89.603291999999996</v>
      </c>
      <c r="J6" s="88" t="s">
        <v>348</v>
      </c>
      <c r="K6" s="88" t="s">
        <v>349</v>
      </c>
      <c r="L6" s="88" t="s">
        <v>350</v>
      </c>
      <c r="M6" s="88" t="s">
        <v>351</v>
      </c>
      <c r="N6" s="88"/>
      <c r="O6" s="88"/>
      <c r="P6" s="88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" customHeight="1" x14ac:dyDescent="0.15">
      <c r="A7" s="86" t="s">
        <v>352</v>
      </c>
      <c r="B7" s="86" t="s">
        <v>339</v>
      </c>
      <c r="C7" s="86" t="s">
        <v>157</v>
      </c>
      <c r="D7" s="86" t="s">
        <v>340</v>
      </c>
      <c r="E7" s="86" t="s">
        <v>353</v>
      </c>
      <c r="F7" s="86">
        <v>220</v>
      </c>
      <c r="G7" s="87">
        <v>46175</v>
      </c>
      <c r="H7" s="86">
        <v>25.830043</v>
      </c>
      <c r="I7" s="86">
        <v>89.624499999999998</v>
      </c>
      <c r="J7" s="86" t="s">
        <v>354</v>
      </c>
      <c r="K7" s="86" t="s">
        <v>355</v>
      </c>
      <c r="L7" s="86" t="s">
        <v>356</v>
      </c>
      <c r="M7" s="86" t="s">
        <v>357</v>
      </c>
      <c r="N7" s="86"/>
      <c r="O7" s="86"/>
      <c r="P7" s="86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" customHeight="1" x14ac:dyDescent="0.15">
      <c r="A8" s="88" t="s">
        <v>358</v>
      </c>
      <c r="B8" s="88" t="s">
        <v>339</v>
      </c>
      <c r="C8" s="88" t="s">
        <v>157</v>
      </c>
      <c r="D8" s="88" t="s">
        <v>340</v>
      </c>
      <c r="E8" s="88" t="s">
        <v>359</v>
      </c>
      <c r="F8" s="88">
        <v>33</v>
      </c>
      <c r="G8" s="89">
        <v>46175</v>
      </c>
      <c r="H8" s="88">
        <v>25.4939</v>
      </c>
      <c r="I8" s="88">
        <v>89.370170000000002</v>
      </c>
      <c r="J8" s="88" t="s">
        <v>360</v>
      </c>
      <c r="K8" s="88" t="s">
        <v>361</v>
      </c>
      <c r="L8" s="88" t="s">
        <v>362</v>
      </c>
      <c r="M8" s="88" t="s">
        <v>363</v>
      </c>
      <c r="N8" s="88"/>
      <c r="O8" s="88"/>
      <c r="P8" s="88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" customHeight="1" x14ac:dyDescent="0.15">
      <c r="A9" s="86" t="s">
        <v>364</v>
      </c>
      <c r="B9" s="86" t="s">
        <v>339</v>
      </c>
      <c r="C9" s="86" t="s">
        <v>157</v>
      </c>
      <c r="D9" s="86" t="s">
        <v>365</v>
      </c>
      <c r="E9" s="86" t="s">
        <v>366</v>
      </c>
      <c r="F9" s="86">
        <v>33</v>
      </c>
      <c r="G9" s="87">
        <v>46175</v>
      </c>
      <c r="H9" s="86">
        <v>26.125547000000001</v>
      </c>
      <c r="I9" s="86">
        <v>89.729580999999996</v>
      </c>
      <c r="J9" s="86" t="s">
        <v>367</v>
      </c>
      <c r="K9" s="86" t="s">
        <v>368</v>
      </c>
      <c r="L9" s="86" t="s">
        <v>369</v>
      </c>
      <c r="M9" s="86" t="s">
        <v>370</v>
      </c>
      <c r="N9" s="86"/>
      <c r="O9" s="86"/>
      <c r="P9" s="86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" customHeight="1" x14ac:dyDescent="0.15">
      <c r="A10" s="88" t="s">
        <v>371</v>
      </c>
      <c r="B10" s="88" t="s">
        <v>339</v>
      </c>
      <c r="C10" s="88" t="s">
        <v>157</v>
      </c>
      <c r="D10" s="88" t="s">
        <v>365</v>
      </c>
      <c r="E10" s="88" t="s">
        <v>372</v>
      </c>
      <c r="F10" s="88">
        <v>85</v>
      </c>
      <c r="G10" s="89">
        <v>46168</v>
      </c>
      <c r="H10" s="88">
        <v>26.093050000000002</v>
      </c>
      <c r="I10" s="88">
        <v>89.698449999999994</v>
      </c>
      <c r="J10" s="88" t="s">
        <v>373</v>
      </c>
      <c r="K10" s="88" t="s">
        <v>374</v>
      </c>
      <c r="L10" s="88" t="s">
        <v>375</v>
      </c>
      <c r="M10" s="88" t="s">
        <v>376</v>
      </c>
      <c r="N10" s="88"/>
      <c r="O10" s="88"/>
      <c r="P10" s="88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" customHeight="1" x14ac:dyDescent="0.15">
      <c r="A11" s="86" t="s">
        <v>377</v>
      </c>
      <c r="B11" s="86" t="s">
        <v>339</v>
      </c>
      <c r="C11" s="86" t="s">
        <v>157</v>
      </c>
      <c r="D11" s="86" t="s">
        <v>365</v>
      </c>
      <c r="E11" s="86" t="s">
        <v>378</v>
      </c>
      <c r="F11" s="86">
        <v>60</v>
      </c>
      <c r="G11" s="87">
        <v>46174</v>
      </c>
      <c r="H11" s="86">
        <v>26.125547000000001</v>
      </c>
      <c r="I11" s="86">
        <v>89.621770999999995</v>
      </c>
      <c r="J11" s="86" t="s">
        <v>379</v>
      </c>
      <c r="K11" s="86" t="s">
        <v>380</v>
      </c>
      <c r="L11" s="86" t="s">
        <v>381</v>
      </c>
      <c r="M11" s="86" t="s">
        <v>382</v>
      </c>
      <c r="N11" s="86"/>
      <c r="O11" s="86"/>
      <c r="P11" s="86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" customHeight="1" x14ac:dyDescent="0.15">
      <c r="A12" s="88" t="s">
        <v>383</v>
      </c>
      <c r="B12" s="88" t="s">
        <v>339</v>
      </c>
      <c r="C12" s="88" t="s">
        <v>157</v>
      </c>
      <c r="D12" s="88" t="s">
        <v>365</v>
      </c>
      <c r="E12" s="88" t="s">
        <v>353</v>
      </c>
      <c r="F12" s="88">
        <v>220</v>
      </c>
      <c r="G12" s="89">
        <v>46176</v>
      </c>
      <c r="H12" s="88">
        <v>26.068898999999998</v>
      </c>
      <c r="I12" s="88">
        <v>89.673811999999998</v>
      </c>
      <c r="J12" s="88" t="s">
        <v>319</v>
      </c>
      <c r="K12" s="88" t="s">
        <v>384</v>
      </c>
      <c r="L12" s="88" t="s">
        <v>385</v>
      </c>
      <c r="M12" s="88" t="s">
        <v>386</v>
      </c>
      <c r="N12" s="88"/>
      <c r="O12" s="88"/>
      <c r="P12" s="88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" customHeight="1" x14ac:dyDescent="0.15">
      <c r="A13" s="86" t="s">
        <v>387</v>
      </c>
      <c r="B13" s="86" t="s">
        <v>339</v>
      </c>
      <c r="C13" s="86" t="s">
        <v>157</v>
      </c>
      <c r="D13" s="86" t="s">
        <v>113</v>
      </c>
      <c r="E13" s="86" t="s">
        <v>388</v>
      </c>
      <c r="F13" s="86">
        <v>33</v>
      </c>
      <c r="G13" s="87">
        <v>46146</v>
      </c>
      <c r="H13" s="86">
        <v>25.482714999999999</v>
      </c>
      <c r="I13" s="86">
        <v>89.768446999999995</v>
      </c>
      <c r="J13" s="86" t="s">
        <v>389</v>
      </c>
      <c r="K13" s="86" t="s">
        <v>390</v>
      </c>
      <c r="L13" s="86" t="s">
        <v>391</v>
      </c>
      <c r="M13" s="86" t="s">
        <v>392</v>
      </c>
      <c r="N13" s="86"/>
      <c r="O13" s="86"/>
      <c r="P13" s="86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" customHeight="1" x14ac:dyDescent="0.15">
      <c r="A14" s="88" t="s">
        <v>393</v>
      </c>
      <c r="B14" s="88" t="s">
        <v>339</v>
      </c>
      <c r="C14" s="88" t="s">
        <v>157</v>
      </c>
      <c r="D14" s="88" t="s">
        <v>113</v>
      </c>
      <c r="E14" s="88" t="s">
        <v>394</v>
      </c>
      <c r="F14" s="88">
        <v>85</v>
      </c>
      <c r="G14" s="89">
        <v>46147</v>
      </c>
      <c r="H14" s="88">
        <v>25.459002999999999</v>
      </c>
      <c r="I14" s="88">
        <v>89.828174000000004</v>
      </c>
      <c r="J14" s="88" t="s">
        <v>395</v>
      </c>
      <c r="K14" s="88" t="s">
        <v>396</v>
      </c>
      <c r="L14" s="88" t="s">
        <v>391</v>
      </c>
      <c r="M14" s="88" t="s">
        <v>392</v>
      </c>
      <c r="N14" s="88"/>
      <c r="O14" s="88"/>
      <c r="P14" s="88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" customHeight="1" x14ac:dyDescent="0.15">
      <c r="A15" s="86" t="s">
        <v>397</v>
      </c>
      <c r="B15" s="86" t="s">
        <v>339</v>
      </c>
      <c r="C15" s="86" t="s">
        <v>157</v>
      </c>
      <c r="D15" s="86" t="s">
        <v>113</v>
      </c>
      <c r="E15" s="86" t="s">
        <v>398</v>
      </c>
      <c r="F15" s="86">
        <v>60</v>
      </c>
      <c r="G15" s="87">
        <v>46148</v>
      </c>
      <c r="H15" s="86">
        <v>25.427143999999998</v>
      </c>
      <c r="I15" s="86">
        <v>89.771585999999999</v>
      </c>
      <c r="J15" s="86" t="s">
        <v>399</v>
      </c>
      <c r="K15" s="86" t="s">
        <v>400</v>
      </c>
      <c r="L15" s="86" t="s">
        <v>391</v>
      </c>
      <c r="M15" s="86" t="s">
        <v>392</v>
      </c>
      <c r="N15" s="86"/>
      <c r="O15" s="86"/>
      <c r="P15" s="86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" customHeight="1" x14ac:dyDescent="0.15">
      <c r="A16" s="88" t="s">
        <v>401</v>
      </c>
      <c r="B16" s="88" t="s">
        <v>339</v>
      </c>
      <c r="C16" s="88" t="s">
        <v>157</v>
      </c>
      <c r="D16" s="88" t="s">
        <v>113</v>
      </c>
      <c r="E16" s="88" t="s">
        <v>402</v>
      </c>
      <c r="F16" s="88">
        <v>370</v>
      </c>
      <c r="G16" s="89">
        <v>46149</v>
      </c>
      <c r="H16" s="88">
        <v>25.436446</v>
      </c>
      <c r="I16" s="88">
        <v>89.777963</v>
      </c>
      <c r="J16" s="88" t="s">
        <v>403</v>
      </c>
      <c r="K16" s="88" t="s">
        <v>404</v>
      </c>
      <c r="L16" s="88" t="s">
        <v>391</v>
      </c>
      <c r="M16" s="88" t="s">
        <v>392</v>
      </c>
      <c r="N16" s="88"/>
      <c r="O16" s="88"/>
      <c r="P16" s="88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" customHeight="1" x14ac:dyDescent="0.15">
      <c r="A17" s="86" t="s">
        <v>405</v>
      </c>
      <c r="B17" s="86" t="s">
        <v>339</v>
      </c>
      <c r="C17" s="86" t="s">
        <v>157</v>
      </c>
      <c r="D17" s="86" t="s">
        <v>102</v>
      </c>
      <c r="E17" s="86" t="s">
        <v>406</v>
      </c>
      <c r="F17" s="86">
        <v>85</v>
      </c>
      <c r="G17" s="87">
        <v>46153</v>
      </c>
      <c r="H17" s="86">
        <v>25.719194999999999</v>
      </c>
      <c r="I17" s="86">
        <v>89.552200999999997</v>
      </c>
      <c r="J17" s="86" t="s">
        <v>407</v>
      </c>
      <c r="K17" s="86" t="s">
        <v>408</v>
      </c>
      <c r="L17" s="86" t="s">
        <v>395</v>
      </c>
      <c r="M17" s="86" t="s">
        <v>409</v>
      </c>
      <c r="N17" s="86"/>
      <c r="O17" s="86"/>
      <c r="P17" s="86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" customHeight="1" x14ac:dyDescent="0.15">
      <c r="A18" s="88" t="s">
        <v>410</v>
      </c>
      <c r="B18" s="88" t="s">
        <v>339</v>
      </c>
      <c r="C18" s="88" t="s">
        <v>157</v>
      </c>
      <c r="D18" s="88" t="s">
        <v>102</v>
      </c>
      <c r="E18" s="88" t="s">
        <v>411</v>
      </c>
      <c r="F18" s="88">
        <v>60</v>
      </c>
      <c r="G18" s="89">
        <v>46158</v>
      </c>
      <c r="H18" s="88">
        <v>25.656067</v>
      </c>
      <c r="I18" s="88">
        <v>89.648548000000005</v>
      </c>
      <c r="J18" s="88" t="s">
        <v>412</v>
      </c>
      <c r="K18" s="88" t="s">
        <v>413</v>
      </c>
      <c r="L18" s="88" t="s">
        <v>414</v>
      </c>
      <c r="M18" s="88" t="s">
        <v>415</v>
      </c>
      <c r="N18" s="88"/>
      <c r="O18" s="88"/>
      <c r="P18" s="88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" customHeight="1" x14ac:dyDescent="0.15">
      <c r="A19" s="86" t="s">
        <v>416</v>
      </c>
      <c r="B19" s="86" t="s">
        <v>339</v>
      </c>
      <c r="C19" s="86" t="s">
        <v>157</v>
      </c>
      <c r="D19" s="86" t="s">
        <v>102</v>
      </c>
      <c r="E19" s="86" t="s">
        <v>417</v>
      </c>
      <c r="F19" s="86">
        <v>220</v>
      </c>
      <c r="G19" s="87">
        <v>46162</v>
      </c>
      <c r="H19" s="86">
        <v>25.690650999999999</v>
      </c>
      <c r="I19" s="86">
        <v>89.615539999999996</v>
      </c>
      <c r="J19" s="86" t="s">
        <v>418</v>
      </c>
      <c r="K19" s="86" t="s">
        <v>419</v>
      </c>
      <c r="L19" s="86" t="s">
        <v>420</v>
      </c>
      <c r="M19" s="86" t="s">
        <v>421</v>
      </c>
      <c r="N19" s="86"/>
      <c r="O19" s="86"/>
      <c r="P19" s="86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" customHeight="1" x14ac:dyDescent="0.15">
      <c r="A20" s="88" t="s">
        <v>422</v>
      </c>
      <c r="B20" s="88" t="s">
        <v>339</v>
      </c>
      <c r="C20" s="88" t="s">
        <v>157</v>
      </c>
      <c r="D20" s="88" t="s">
        <v>102</v>
      </c>
      <c r="E20" s="88" t="s">
        <v>423</v>
      </c>
      <c r="F20" s="88">
        <v>33</v>
      </c>
      <c r="G20" s="89">
        <v>46160</v>
      </c>
      <c r="H20" s="88">
        <v>25.642386999999999</v>
      </c>
      <c r="I20" s="88">
        <v>89.617095000000006</v>
      </c>
      <c r="J20" s="88" t="s">
        <v>424</v>
      </c>
      <c r="K20" s="88" t="s">
        <v>425</v>
      </c>
      <c r="L20" s="88" t="s">
        <v>420</v>
      </c>
      <c r="M20" s="88" t="s">
        <v>421</v>
      </c>
      <c r="N20" s="88"/>
      <c r="O20" s="88"/>
      <c r="P20" s="88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" customHeight="1" x14ac:dyDescent="0.15">
      <c r="A21" s="86" t="s">
        <v>426</v>
      </c>
      <c r="B21" s="86" t="s">
        <v>339</v>
      </c>
      <c r="C21" s="86" t="s">
        <v>157</v>
      </c>
      <c r="D21" s="86" t="s">
        <v>129</v>
      </c>
      <c r="E21" s="86" t="s">
        <v>427</v>
      </c>
      <c r="F21" s="86">
        <v>33</v>
      </c>
      <c r="G21" s="87">
        <v>46154</v>
      </c>
      <c r="H21" s="86">
        <v>25.563040000000001</v>
      </c>
      <c r="I21" s="86">
        <v>89.851900000000001</v>
      </c>
      <c r="J21" s="86" t="s">
        <v>428</v>
      </c>
      <c r="K21" s="86" t="s">
        <v>429</v>
      </c>
      <c r="L21" s="86" t="s">
        <v>207</v>
      </c>
      <c r="M21" s="86" t="s">
        <v>430</v>
      </c>
      <c r="N21" s="86"/>
      <c r="O21" s="86"/>
      <c r="P21" s="86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" customHeight="1" x14ac:dyDescent="0.15">
      <c r="A22" s="88" t="s">
        <v>431</v>
      </c>
      <c r="B22" s="88" t="s">
        <v>339</v>
      </c>
      <c r="C22" s="88" t="s">
        <v>157</v>
      </c>
      <c r="D22" s="88" t="s">
        <v>129</v>
      </c>
      <c r="E22" s="88" t="s">
        <v>432</v>
      </c>
      <c r="F22" s="88">
        <v>85</v>
      </c>
      <c r="G22" s="89">
        <v>46155</v>
      </c>
      <c r="H22" s="88">
        <v>25.5412</v>
      </c>
      <c r="I22" s="88">
        <v>89.831000000000003</v>
      </c>
      <c r="J22" s="88" t="s">
        <v>433</v>
      </c>
      <c r="K22" s="88" t="s">
        <v>434</v>
      </c>
      <c r="L22" s="88" t="s">
        <v>207</v>
      </c>
      <c r="M22" s="88" t="s">
        <v>430</v>
      </c>
      <c r="N22" s="88"/>
      <c r="O22" s="88"/>
      <c r="P22" s="88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" customHeight="1" x14ac:dyDescent="0.15">
      <c r="A23" s="86" t="s">
        <v>435</v>
      </c>
      <c r="B23" s="86" t="s">
        <v>339</v>
      </c>
      <c r="C23" s="86" t="s">
        <v>157</v>
      </c>
      <c r="D23" s="86" t="s">
        <v>129</v>
      </c>
      <c r="E23" s="86" t="s">
        <v>436</v>
      </c>
      <c r="F23" s="86">
        <v>60</v>
      </c>
      <c r="G23" s="87">
        <v>46157</v>
      </c>
      <c r="H23" s="86">
        <v>25.584109999999999</v>
      </c>
      <c r="I23" s="86">
        <v>89.882149999999996</v>
      </c>
      <c r="J23" s="86" t="s">
        <v>437</v>
      </c>
      <c r="K23" s="86" t="s">
        <v>438</v>
      </c>
      <c r="L23" s="86" t="s">
        <v>207</v>
      </c>
      <c r="M23" s="86" t="s">
        <v>430</v>
      </c>
      <c r="N23" s="86"/>
      <c r="O23" s="86"/>
      <c r="P23" s="86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" customHeight="1" x14ac:dyDescent="0.15">
      <c r="A24" s="88" t="s">
        <v>439</v>
      </c>
      <c r="B24" s="88" t="s">
        <v>339</v>
      </c>
      <c r="C24" s="88" t="s">
        <v>157</v>
      </c>
      <c r="D24" s="88" t="s">
        <v>129</v>
      </c>
      <c r="E24" s="88" t="s">
        <v>440</v>
      </c>
      <c r="F24" s="88">
        <v>220</v>
      </c>
      <c r="G24" s="89">
        <v>46157</v>
      </c>
      <c r="H24" s="88">
        <v>25.552299999999999</v>
      </c>
      <c r="I24" s="88">
        <v>89.845399999999998</v>
      </c>
      <c r="J24" s="88" t="s">
        <v>441</v>
      </c>
      <c r="K24" s="88" t="s">
        <v>442</v>
      </c>
      <c r="L24" s="88" t="s">
        <v>207</v>
      </c>
      <c r="M24" s="88" t="s">
        <v>430</v>
      </c>
      <c r="N24" s="88"/>
      <c r="O24" s="88"/>
      <c r="P24" s="88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" customHeight="1" x14ac:dyDescent="0.15">
      <c r="A25" s="86" t="s">
        <v>443</v>
      </c>
      <c r="B25" s="86" t="s">
        <v>339</v>
      </c>
      <c r="C25" s="86" t="s">
        <v>157</v>
      </c>
      <c r="D25" s="86" t="s">
        <v>108</v>
      </c>
      <c r="E25" s="86" t="s">
        <v>359</v>
      </c>
      <c r="F25" s="86">
        <v>33</v>
      </c>
      <c r="G25" s="87">
        <v>46160</v>
      </c>
      <c r="H25" s="86">
        <v>25.621449999999999</v>
      </c>
      <c r="I25" s="86">
        <v>89.684119999999993</v>
      </c>
      <c r="J25" s="86" t="s">
        <v>444</v>
      </c>
      <c r="K25" s="86" t="s">
        <v>445</v>
      </c>
      <c r="L25" s="86" t="s">
        <v>446</v>
      </c>
      <c r="M25" s="86" t="s">
        <v>447</v>
      </c>
      <c r="N25" s="86"/>
      <c r="O25" s="86"/>
      <c r="P25" s="86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" customHeight="1" x14ac:dyDescent="0.15">
      <c r="A26" s="88" t="s">
        <v>448</v>
      </c>
      <c r="B26" s="88" t="s">
        <v>339</v>
      </c>
      <c r="C26" s="88" t="s">
        <v>157</v>
      </c>
      <c r="D26" s="88" t="s">
        <v>108</v>
      </c>
      <c r="E26" s="88" t="s">
        <v>449</v>
      </c>
      <c r="F26" s="88">
        <v>85</v>
      </c>
      <c r="G26" s="89">
        <v>46161</v>
      </c>
      <c r="H26" s="88">
        <v>25.59301</v>
      </c>
      <c r="I26" s="88">
        <v>89.661469999999994</v>
      </c>
      <c r="J26" s="88" t="s">
        <v>450</v>
      </c>
      <c r="K26" s="88" t="s">
        <v>451</v>
      </c>
      <c r="L26" s="88" t="s">
        <v>446</v>
      </c>
      <c r="M26" s="88" t="s">
        <v>447</v>
      </c>
      <c r="N26" s="88"/>
      <c r="O26" s="88"/>
      <c r="P26" s="88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" customHeight="1" x14ac:dyDescent="0.15">
      <c r="A27" s="86" t="s">
        <v>452</v>
      </c>
      <c r="B27" s="86" t="s">
        <v>339</v>
      </c>
      <c r="C27" s="86" t="s">
        <v>157</v>
      </c>
      <c r="D27" s="86" t="s">
        <v>108</v>
      </c>
      <c r="E27" s="86" t="s">
        <v>436</v>
      </c>
      <c r="F27" s="86">
        <v>60</v>
      </c>
      <c r="G27" s="87">
        <v>46162</v>
      </c>
      <c r="H27" s="86">
        <v>25.6112</v>
      </c>
      <c r="I27" s="86">
        <v>89.695300000000003</v>
      </c>
      <c r="J27" s="86" t="s">
        <v>453</v>
      </c>
      <c r="K27" s="86" t="s">
        <v>454</v>
      </c>
      <c r="L27" s="86" t="s">
        <v>446</v>
      </c>
      <c r="M27" s="86" t="s">
        <v>447</v>
      </c>
      <c r="N27" s="86"/>
      <c r="O27" s="86"/>
      <c r="P27" s="86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" customHeight="1" x14ac:dyDescent="0.15">
      <c r="A28" s="88" t="s">
        <v>455</v>
      </c>
      <c r="B28" s="88" t="s">
        <v>339</v>
      </c>
      <c r="C28" s="88" t="s">
        <v>157</v>
      </c>
      <c r="D28" s="88" t="s">
        <v>108</v>
      </c>
      <c r="E28" s="88" t="s">
        <v>353</v>
      </c>
      <c r="F28" s="88">
        <v>220</v>
      </c>
      <c r="G28" s="89">
        <v>46164</v>
      </c>
      <c r="H28" s="88">
        <v>25.604500000000002</v>
      </c>
      <c r="I28" s="88">
        <v>89.671199999999999</v>
      </c>
      <c r="J28" s="88" t="s">
        <v>456</v>
      </c>
      <c r="K28" s="88" t="s">
        <v>457</v>
      </c>
      <c r="L28" s="88" t="s">
        <v>446</v>
      </c>
      <c r="M28" s="88" t="s">
        <v>447</v>
      </c>
      <c r="N28" s="88"/>
      <c r="O28" s="88"/>
      <c r="P28" s="88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" customHeight="1" x14ac:dyDescent="0.15">
      <c r="A29" s="86" t="s">
        <v>458</v>
      </c>
      <c r="B29" s="86" t="s">
        <v>339</v>
      </c>
      <c r="C29" s="86" t="s">
        <v>157</v>
      </c>
      <c r="D29" s="86" t="s">
        <v>119</v>
      </c>
      <c r="E29" s="86" t="s">
        <v>459</v>
      </c>
      <c r="F29" s="86">
        <v>33</v>
      </c>
      <c r="G29" s="87">
        <v>46167</v>
      </c>
      <c r="H29" s="86">
        <v>25.98142</v>
      </c>
      <c r="I29" s="86">
        <v>89.652140000000003</v>
      </c>
      <c r="J29" s="86" t="s">
        <v>460</v>
      </c>
      <c r="K29" s="86" t="s">
        <v>461</v>
      </c>
      <c r="L29" s="86" t="s">
        <v>462</v>
      </c>
      <c r="M29" s="86" t="s">
        <v>463</v>
      </c>
      <c r="N29" s="86"/>
      <c r="O29" s="86"/>
      <c r="P29" s="86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" customHeight="1" x14ac:dyDescent="0.15">
      <c r="A30" s="88" t="s">
        <v>464</v>
      </c>
      <c r="B30" s="88" t="s">
        <v>339</v>
      </c>
      <c r="C30" s="88" t="s">
        <v>157</v>
      </c>
      <c r="D30" s="88" t="s">
        <v>119</v>
      </c>
      <c r="E30" s="88" t="s">
        <v>465</v>
      </c>
      <c r="F30" s="88">
        <v>85</v>
      </c>
      <c r="G30" s="89">
        <v>46168</v>
      </c>
      <c r="H30" s="88">
        <v>25.964110000000002</v>
      </c>
      <c r="I30" s="88">
        <v>89.631020000000007</v>
      </c>
      <c r="J30" s="88" t="s">
        <v>466</v>
      </c>
      <c r="K30" s="88" t="s">
        <v>467</v>
      </c>
      <c r="L30" s="88" t="s">
        <v>462</v>
      </c>
      <c r="M30" s="88" t="s">
        <v>463</v>
      </c>
      <c r="N30" s="88"/>
      <c r="O30" s="88"/>
      <c r="P30" s="88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" customHeight="1" x14ac:dyDescent="0.15">
      <c r="A31" s="86" t="s">
        <v>468</v>
      </c>
      <c r="B31" s="86" t="s">
        <v>339</v>
      </c>
      <c r="C31" s="86" t="s">
        <v>157</v>
      </c>
      <c r="D31" s="86" t="s">
        <v>119</v>
      </c>
      <c r="E31" s="86" t="s">
        <v>411</v>
      </c>
      <c r="F31" s="86">
        <v>60</v>
      </c>
      <c r="G31" s="87">
        <v>46170</v>
      </c>
      <c r="H31" s="86">
        <v>25.9923</v>
      </c>
      <c r="I31" s="86">
        <v>89.674509999999998</v>
      </c>
      <c r="J31" s="86" t="s">
        <v>469</v>
      </c>
      <c r="K31" s="86" t="s">
        <v>470</v>
      </c>
      <c r="L31" s="86" t="s">
        <v>462</v>
      </c>
      <c r="M31" s="86" t="s">
        <v>463</v>
      </c>
      <c r="N31" s="86"/>
      <c r="O31" s="86"/>
      <c r="P31" s="86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" customHeight="1" x14ac:dyDescent="0.15">
      <c r="A32" s="88" t="s">
        <v>471</v>
      </c>
      <c r="B32" s="88" t="s">
        <v>339</v>
      </c>
      <c r="C32" s="88" t="s">
        <v>157</v>
      </c>
      <c r="D32" s="88" t="s">
        <v>119</v>
      </c>
      <c r="E32" s="88" t="s">
        <v>353</v>
      </c>
      <c r="F32" s="88">
        <v>220</v>
      </c>
      <c r="G32" s="89">
        <v>46172</v>
      </c>
      <c r="H32" s="88">
        <v>25.971499999999999</v>
      </c>
      <c r="I32" s="88">
        <v>89.641199999999998</v>
      </c>
      <c r="J32" s="88" t="s">
        <v>472</v>
      </c>
      <c r="K32" s="88" t="s">
        <v>473</v>
      </c>
      <c r="L32" s="88" t="s">
        <v>462</v>
      </c>
      <c r="M32" s="88" t="s">
        <v>463</v>
      </c>
      <c r="N32" s="88"/>
      <c r="O32" s="88"/>
      <c r="P32" s="88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" customHeight="1" x14ac:dyDescent="0.15">
      <c r="A33" s="86" t="s">
        <v>474</v>
      </c>
      <c r="B33" s="86" t="s">
        <v>339</v>
      </c>
      <c r="C33" s="86" t="s">
        <v>157</v>
      </c>
      <c r="D33" s="86" t="s">
        <v>475</v>
      </c>
      <c r="E33" s="86" t="s">
        <v>359</v>
      </c>
      <c r="F33" s="86">
        <v>33</v>
      </c>
      <c r="G33" s="87">
        <v>46174</v>
      </c>
      <c r="H33" s="86">
        <v>25.941199999999998</v>
      </c>
      <c r="I33" s="86">
        <v>89.5214</v>
      </c>
      <c r="J33" s="86" t="s">
        <v>476</v>
      </c>
      <c r="K33" s="86" t="s">
        <v>477</v>
      </c>
      <c r="L33" s="86" t="s">
        <v>478</v>
      </c>
      <c r="M33" s="86" t="s">
        <v>479</v>
      </c>
      <c r="N33" s="86"/>
      <c r="O33" s="86"/>
      <c r="P33" s="86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" customHeight="1" x14ac:dyDescent="0.15">
      <c r="A34" s="88" t="s">
        <v>480</v>
      </c>
      <c r="B34" s="88" t="s">
        <v>339</v>
      </c>
      <c r="C34" s="88" t="s">
        <v>157</v>
      </c>
      <c r="D34" s="88" t="s">
        <v>475</v>
      </c>
      <c r="E34" s="88" t="s">
        <v>406</v>
      </c>
      <c r="F34" s="88">
        <v>85</v>
      </c>
      <c r="G34" s="89">
        <v>46175</v>
      </c>
      <c r="H34" s="88">
        <v>25.923100000000002</v>
      </c>
      <c r="I34" s="88">
        <v>89.504099999999994</v>
      </c>
      <c r="J34" s="88" t="s">
        <v>481</v>
      </c>
      <c r="K34" s="88" t="s">
        <v>482</v>
      </c>
      <c r="L34" s="88" t="s">
        <v>478</v>
      </c>
      <c r="M34" s="88" t="s">
        <v>479</v>
      </c>
      <c r="N34" s="88"/>
      <c r="O34" s="88"/>
      <c r="P34" s="88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" customHeight="1" x14ac:dyDescent="0.15">
      <c r="A35" s="86" t="s">
        <v>483</v>
      </c>
      <c r="B35" s="86" t="s">
        <v>339</v>
      </c>
      <c r="C35" s="86" t="s">
        <v>157</v>
      </c>
      <c r="D35" s="86" t="s">
        <v>475</v>
      </c>
      <c r="E35" s="86" t="s">
        <v>436</v>
      </c>
      <c r="F35" s="86">
        <v>60</v>
      </c>
      <c r="G35" s="87">
        <v>46177</v>
      </c>
      <c r="H35" s="86">
        <v>25.952400000000001</v>
      </c>
      <c r="I35" s="86">
        <v>89.541200000000003</v>
      </c>
      <c r="J35" s="86" t="s">
        <v>484</v>
      </c>
      <c r="K35" s="86" t="s">
        <v>485</v>
      </c>
      <c r="L35" s="86" t="s">
        <v>478</v>
      </c>
      <c r="M35" s="86" t="s">
        <v>479</v>
      </c>
      <c r="N35" s="86"/>
      <c r="O35" s="86"/>
      <c r="P35" s="86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" customHeight="1" x14ac:dyDescent="0.15">
      <c r="A36" s="88" t="s">
        <v>486</v>
      </c>
      <c r="B36" s="88" t="s">
        <v>339</v>
      </c>
      <c r="C36" s="88" t="s">
        <v>157</v>
      </c>
      <c r="D36" s="88" t="s">
        <v>475</v>
      </c>
      <c r="E36" s="88" t="s">
        <v>417</v>
      </c>
      <c r="F36" s="88">
        <v>220</v>
      </c>
      <c r="G36" s="89">
        <v>46178</v>
      </c>
      <c r="H36" s="88">
        <v>25.9315</v>
      </c>
      <c r="I36" s="88">
        <v>89.512299999999996</v>
      </c>
      <c r="J36" s="88" t="s">
        <v>487</v>
      </c>
      <c r="K36" s="88" t="s">
        <v>488</v>
      </c>
      <c r="L36" s="88" t="s">
        <v>478</v>
      </c>
      <c r="M36" s="88" t="s">
        <v>479</v>
      </c>
      <c r="N36" s="88"/>
      <c r="O36" s="88"/>
      <c r="P36" s="88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" customHeight="1" x14ac:dyDescent="0.15">
      <c r="A37" s="86" t="s">
        <v>489</v>
      </c>
      <c r="B37" s="86" t="s">
        <v>339</v>
      </c>
      <c r="C37" s="86" t="s">
        <v>157</v>
      </c>
      <c r="D37" s="86" t="s">
        <v>110</v>
      </c>
      <c r="E37" s="86" t="s">
        <v>427</v>
      </c>
      <c r="F37" s="86">
        <v>33</v>
      </c>
      <c r="G37" s="87">
        <v>46181</v>
      </c>
      <c r="H37" s="86">
        <v>25.801200000000001</v>
      </c>
      <c r="I37" s="86">
        <v>89.551400000000001</v>
      </c>
      <c r="J37" s="86" t="s">
        <v>490</v>
      </c>
      <c r="K37" s="86" t="s">
        <v>491</v>
      </c>
      <c r="L37" s="86" t="s">
        <v>492</v>
      </c>
      <c r="M37" s="86" t="s">
        <v>493</v>
      </c>
      <c r="N37" s="86"/>
      <c r="O37" s="86"/>
      <c r="P37" s="86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" customHeight="1" x14ac:dyDescent="0.15">
      <c r="A38" s="88" t="s">
        <v>494</v>
      </c>
      <c r="B38" s="88" t="s">
        <v>339</v>
      </c>
      <c r="C38" s="88" t="s">
        <v>157</v>
      </c>
      <c r="D38" s="88" t="s">
        <v>110</v>
      </c>
      <c r="E38" s="88" t="s">
        <v>449</v>
      </c>
      <c r="F38" s="88">
        <v>85</v>
      </c>
      <c r="G38" s="89">
        <v>46182</v>
      </c>
      <c r="H38" s="88">
        <v>25.784099999999999</v>
      </c>
      <c r="I38" s="88">
        <v>89.531000000000006</v>
      </c>
      <c r="J38" s="88" t="s">
        <v>495</v>
      </c>
      <c r="K38" s="88" t="s">
        <v>496</v>
      </c>
      <c r="L38" s="88" t="s">
        <v>492</v>
      </c>
      <c r="M38" s="88" t="s">
        <v>493</v>
      </c>
      <c r="N38" s="88"/>
      <c r="O38" s="88"/>
      <c r="P38" s="88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" customHeight="1" x14ac:dyDescent="0.15">
      <c r="A39" s="86" t="s">
        <v>497</v>
      </c>
      <c r="B39" s="86" t="s">
        <v>339</v>
      </c>
      <c r="C39" s="86" t="s">
        <v>157</v>
      </c>
      <c r="D39" s="86" t="s">
        <v>110</v>
      </c>
      <c r="E39" s="86" t="s">
        <v>436</v>
      </c>
      <c r="F39" s="86">
        <v>60</v>
      </c>
      <c r="G39" s="87">
        <v>46183</v>
      </c>
      <c r="H39" s="86">
        <v>25.8123</v>
      </c>
      <c r="I39" s="86">
        <v>89.564099999999996</v>
      </c>
      <c r="J39" s="86" t="s">
        <v>498</v>
      </c>
      <c r="K39" s="86" t="s">
        <v>499</v>
      </c>
      <c r="L39" s="86" t="s">
        <v>492</v>
      </c>
      <c r="M39" s="86" t="s">
        <v>493</v>
      </c>
      <c r="N39" s="86"/>
      <c r="O39" s="86"/>
      <c r="P39" s="86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" customHeight="1" x14ac:dyDescent="0.15">
      <c r="A40" s="88" t="s">
        <v>500</v>
      </c>
      <c r="B40" s="88" t="s">
        <v>339</v>
      </c>
      <c r="C40" s="88" t="s">
        <v>157</v>
      </c>
      <c r="D40" s="88" t="s">
        <v>110</v>
      </c>
      <c r="E40" s="88" t="s">
        <v>353</v>
      </c>
      <c r="F40" s="88">
        <v>220</v>
      </c>
      <c r="G40" s="89">
        <v>46185</v>
      </c>
      <c r="H40" s="88">
        <v>25.791499999999999</v>
      </c>
      <c r="I40" s="88">
        <v>89.541200000000003</v>
      </c>
      <c r="J40" s="88" t="s">
        <v>501</v>
      </c>
      <c r="K40" s="88" t="s">
        <v>502</v>
      </c>
      <c r="L40" s="88" t="s">
        <v>492</v>
      </c>
      <c r="M40" s="88" t="s">
        <v>493</v>
      </c>
      <c r="N40" s="88"/>
      <c r="O40" s="88"/>
      <c r="P40" s="88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8" customHeight="1" x14ac:dyDescent="0.15">
      <c r="A41" s="90"/>
      <c r="B41" s="90"/>
      <c r="C41" s="90"/>
      <c r="D41" s="90"/>
      <c r="E41" s="90"/>
      <c r="F41" s="90">
        <f>SUM(F5:F40)</f>
        <v>3732</v>
      </c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15">
      <c r="A42" s="33"/>
      <c r="B42" s="33"/>
      <c r="C42" s="33"/>
      <c r="D42" s="33"/>
      <c r="E42" s="33"/>
      <c r="F42" s="91"/>
      <c r="G42" s="31"/>
      <c r="H42" s="33"/>
      <c r="I42" s="33"/>
      <c r="J42" s="33"/>
      <c r="K42" s="92"/>
      <c r="L42" s="33"/>
      <c r="M42" s="9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15">
      <c r="A43" s="33"/>
      <c r="B43" s="33"/>
      <c r="C43" s="33"/>
      <c r="D43" s="33"/>
      <c r="E43" s="33"/>
      <c r="F43" s="91"/>
      <c r="G43" s="31"/>
      <c r="H43" s="33"/>
      <c r="I43" s="33"/>
      <c r="J43" s="33"/>
      <c r="K43" s="92"/>
      <c r="L43" s="33"/>
      <c r="M43" s="9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15">
      <c r="A44" s="33"/>
      <c r="B44" s="33"/>
      <c r="C44" s="33"/>
      <c r="D44" s="33"/>
      <c r="E44" s="33"/>
      <c r="F44" s="91"/>
      <c r="G44" s="31"/>
      <c r="H44" s="33"/>
      <c r="I44" s="33"/>
      <c r="J44" s="33"/>
      <c r="K44" s="92"/>
      <c r="L44" s="33"/>
      <c r="M44" s="9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15">
      <c r="A45" s="33"/>
      <c r="B45" s="33"/>
      <c r="C45" s="33"/>
      <c r="D45" s="33"/>
      <c r="E45" s="33"/>
      <c r="F45" s="91"/>
      <c r="G45" s="31"/>
      <c r="H45" s="33"/>
      <c r="I45" s="33"/>
      <c r="J45" s="33"/>
      <c r="K45" s="92"/>
      <c r="L45" s="33"/>
      <c r="M45" s="9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15">
      <c r="A46" s="33"/>
      <c r="B46" s="33"/>
      <c r="C46" s="33"/>
      <c r="D46" s="33"/>
      <c r="E46" s="33"/>
      <c r="F46" s="91"/>
      <c r="G46" s="31"/>
      <c r="H46" s="33"/>
      <c r="I46" s="33"/>
      <c r="J46" s="33"/>
      <c r="K46" s="92"/>
      <c r="L46" s="33"/>
      <c r="M46" s="9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15">
      <c r="A47" s="33"/>
      <c r="B47" s="33"/>
      <c r="C47" s="33"/>
      <c r="D47" s="33"/>
      <c r="E47" s="33"/>
      <c r="F47" s="91"/>
      <c r="G47" s="31"/>
      <c r="H47" s="33"/>
      <c r="I47" s="33"/>
      <c r="J47" s="33"/>
      <c r="K47" s="92"/>
      <c r="L47" s="33"/>
      <c r="M47" s="9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15">
      <c r="A48" s="33"/>
      <c r="B48" s="33"/>
      <c r="C48" s="33"/>
      <c r="D48" s="33"/>
      <c r="E48" s="33"/>
      <c r="F48" s="91"/>
      <c r="G48" s="31"/>
      <c r="H48" s="33"/>
      <c r="I48" s="33"/>
      <c r="J48" s="33"/>
      <c r="K48" s="92"/>
      <c r="L48" s="33"/>
      <c r="M48" s="9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15">
      <c r="A49" s="33"/>
      <c r="B49" s="33"/>
      <c r="C49" s="33"/>
      <c r="D49" s="33"/>
      <c r="E49" s="33"/>
      <c r="F49" s="91"/>
      <c r="G49" s="31"/>
      <c r="H49" s="33"/>
      <c r="I49" s="33"/>
      <c r="J49" s="33"/>
      <c r="K49" s="92"/>
      <c r="L49" s="33"/>
      <c r="M49" s="9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15">
      <c r="A50" s="33"/>
      <c r="B50" s="33"/>
      <c r="C50" s="33"/>
      <c r="D50" s="33"/>
      <c r="E50" s="33"/>
      <c r="F50" s="91"/>
      <c r="G50" s="31"/>
      <c r="H50" s="33"/>
      <c r="I50" s="33"/>
      <c r="J50" s="33"/>
      <c r="K50" s="92"/>
      <c r="L50" s="33"/>
      <c r="M50" s="9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15">
      <c r="A51" s="33"/>
      <c r="B51" s="33"/>
      <c r="C51" s="33"/>
      <c r="D51" s="33"/>
      <c r="E51" s="33"/>
      <c r="F51" s="91"/>
      <c r="G51" s="31"/>
      <c r="H51" s="33"/>
      <c r="I51" s="33"/>
      <c r="J51" s="33"/>
      <c r="K51" s="92"/>
      <c r="L51" s="33"/>
      <c r="M51" s="9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15">
      <c r="A52" s="33"/>
      <c r="B52" s="33"/>
      <c r="C52" s="33"/>
      <c r="D52" s="33"/>
      <c r="E52" s="33"/>
      <c r="F52" s="91"/>
      <c r="G52" s="31"/>
      <c r="H52" s="33"/>
      <c r="I52" s="33"/>
      <c r="J52" s="33"/>
      <c r="K52" s="92"/>
      <c r="L52" s="33"/>
      <c r="M52" s="9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15">
      <c r="A53" s="33"/>
      <c r="B53" s="33"/>
      <c r="C53" s="33"/>
      <c r="D53" s="33"/>
      <c r="E53" s="33"/>
      <c r="F53" s="91"/>
      <c r="G53" s="31"/>
      <c r="H53" s="33"/>
      <c r="I53" s="33"/>
      <c r="J53" s="33"/>
      <c r="K53" s="92"/>
      <c r="L53" s="33"/>
      <c r="M53" s="9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15">
      <c r="A54" s="33"/>
      <c r="B54" s="33"/>
      <c r="C54" s="33"/>
      <c r="D54" s="33"/>
      <c r="E54" s="33"/>
      <c r="F54" s="91"/>
      <c r="G54" s="31"/>
      <c r="H54" s="33"/>
      <c r="I54" s="33"/>
      <c r="J54" s="33"/>
      <c r="K54" s="92"/>
      <c r="L54" s="33"/>
      <c r="M54" s="9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15">
      <c r="A55" s="33"/>
      <c r="B55" s="33"/>
      <c r="C55" s="33"/>
      <c r="D55" s="33"/>
      <c r="E55" s="33"/>
      <c r="F55" s="91"/>
      <c r="G55" s="31"/>
      <c r="H55" s="33"/>
      <c r="I55" s="33"/>
      <c r="J55" s="33"/>
      <c r="K55" s="92"/>
      <c r="L55" s="33"/>
      <c r="M55" s="9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15">
      <c r="A56" s="33"/>
      <c r="B56" s="33"/>
      <c r="C56" s="33"/>
      <c r="D56" s="33"/>
      <c r="E56" s="33"/>
      <c r="F56" s="91"/>
      <c r="G56" s="31"/>
      <c r="H56" s="33"/>
      <c r="I56" s="33"/>
      <c r="J56" s="33"/>
      <c r="K56" s="92"/>
      <c r="L56" s="33"/>
      <c r="M56" s="9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15">
      <c r="A57" s="33"/>
      <c r="B57" s="33"/>
      <c r="C57" s="33"/>
      <c r="D57" s="33"/>
      <c r="E57" s="33"/>
      <c r="F57" s="91"/>
      <c r="G57" s="31"/>
      <c r="H57" s="33"/>
      <c r="I57" s="33"/>
      <c r="J57" s="33"/>
      <c r="K57" s="92"/>
      <c r="L57" s="33"/>
      <c r="M57" s="92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15">
      <c r="A58" s="33"/>
      <c r="B58" s="33"/>
      <c r="C58" s="33"/>
      <c r="D58" s="33"/>
      <c r="E58" s="33"/>
      <c r="F58" s="91"/>
      <c r="G58" s="31"/>
      <c r="H58" s="33"/>
      <c r="I58" s="33"/>
      <c r="J58" s="33"/>
      <c r="K58" s="92"/>
      <c r="L58" s="33"/>
      <c r="M58" s="9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15">
      <c r="A59" s="33"/>
      <c r="B59" s="33"/>
      <c r="C59" s="33"/>
      <c r="D59" s="33"/>
      <c r="E59" s="33"/>
      <c r="F59" s="91"/>
      <c r="G59" s="31"/>
      <c r="H59" s="33"/>
      <c r="I59" s="33"/>
      <c r="J59" s="33"/>
      <c r="K59" s="92"/>
      <c r="L59" s="33"/>
      <c r="M59" s="92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15">
      <c r="A60" s="33"/>
      <c r="B60" s="33"/>
      <c r="C60" s="33"/>
      <c r="D60" s="33"/>
      <c r="E60" s="33"/>
      <c r="F60" s="91"/>
      <c r="G60" s="31"/>
      <c r="H60" s="33"/>
      <c r="I60" s="33"/>
      <c r="J60" s="33"/>
      <c r="K60" s="92"/>
      <c r="L60" s="33"/>
      <c r="M60" s="92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15">
      <c r="A61" s="33"/>
      <c r="B61" s="33"/>
      <c r="C61" s="33"/>
      <c r="D61" s="33"/>
      <c r="E61" s="33"/>
      <c r="F61" s="91"/>
      <c r="G61" s="31"/>
      <c r="H61" s="33"/>
      <c r="I61" s="33"/>
      <c r="J61" s="33"/>
      <c r="K61" s="92"/>
      <c r="L61" s="33"/>
      <c r="M61" s="92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15">
      <c r="A62" s="33"/>
      <c r="B62" s="33"/>
      <c r="C62" s="33"/>
      <c r="D62" s="33"/>
      <c r="E62" s="33"/>
      <c r="F62" s="91"/>
      <c r="G62" s="31"/>
      <c r="H62" s="33"/>
      <c r="I62" s="33"/>
      <c r="J62" s="33"/>
      <c r="K62" s="92"/>
      <c r="L62" s="33"/>
      <c r="M62" s="92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15">
      <c r="A63" s="33"/>
      <c r="B63" s="33"/>
      <c r="C63" s="33"/>
      <c r="D63" s="33"/>
      <c r="E63" s="33"/>
      <c r="F63" s="91"/>
      <c r="G63" s="31"/>
      <c r="H63" s="33"/>
      <c r="I63" s="33"/>
      <c r="J63" s="33"/>
      <c r="K63" s="92"/>
      <c r="L63" s="33"/>
      <c r="M63" s="92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15">
      <c r="A64" s="33"/>
      <c r="B64" s="33"/>
      <c r="C64" s="33"/>
      <c r="D64" s="33"/>
      <c r="E64" s="33"/>
      <c r="F64" s="91"/>
      <c r="G64" s="31"/>
      <c r="H64" s="33"/>
      <c r="I64" s="33"/>
      <c r="J64" s="33"/>
      <c r="K64" s="92"/>
      <c r="L64" s="33"/>
      <c r="M64" s="92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15">
      <c r="A65" s="33"/>
      <c r="B65" s="33"/>
      <c r="C65" s="33"/>
      <c r="D65" s="33"/>
      <c r="E65" s="33"/>
      <c r="F65" s="91"/>
      <c r="G65" s="31"/>
      <c r="H65" s="33"/>
      <c r="I65" s="33"/>
      <c r="J65" s="33"/>
      <c r="K65" s="92"/>
      <c r="L65" s="33"/>
      <c r="M65" s="92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15">
      <c r="A66" s="33"/>
      <c r="B66" s="33"/>
      <c r="C66" s="33"/>
      <c r="D66" s="33"/>
      <c r="E66" s="33"/>
      <c r="F66" s="91"/>
      <c r="G66" s="31"/>
      <c r="H66" s="33"/>
      <c r="I66" s="33"/>
      <c r="J66" s="33"/>
      <c r="K66" s="92"/>
      <c r="L66" s="33"/>
      <c r="M66" s="92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15">
      <c r="A67" s="33"/>
      <c r="B67" s="33"/>
      <c r="C67" s="33"/>
      <c r="D67" s="33"/>
      <c r="E67" s="33"/>
      <c r="F67" s="91"/>
      <c r="G67" s="31"/>
      <c r="H67" s="33"/>
      <c r="I67" s="33"/>
      <c r="J67" s="33"/>
      <c r="K67" s="92"/>
      <c r="L67" s="33"/>
      <c r="M67" s="92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15">
      <c r="A68" s="33"/>
      <c r="B68" s="33"/>
      <c r="C68" s="33"/>
      <c r="D68" s="33"/>
      <c r="E68" s="33"/>
      <c r="F68" s="91"/>
      <c r="G68" s="31"/>
      <c r="H68" s="33"/>
      <c r="I68" s="33"/>
      <c r="J68" s="33"/>
      <c r="K68" s="92"/>
      <c r="L68" s="33"/>
      <c r="M68" s="92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15">
      <c r="A69" s="33"/>
      <c r="B69" s="33"/>
      <c r="C69" s="33"/>
      <c r="D69" s="33"/>
      <c r="E69" s="33"/>
      <c r="F69" s="91"/>
      <c r="G69" s="31"/>
      <c r="H69" s="33"/>
      <c r="I69" s="33"/>
      <c r="J69" s="33"/>
      <c r="K69" s="92"/>
      <c r="L69" s="33"/>
      <c r="M69" s="92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15">
      <c r="A70" s="33"/>
      <c r="B70" s="33"/>
      <c r="C70" s="33"/>
      <c r="D70" s="33"/>
      <c r="E70" s="33"/>
      <c r="F70" s="91"/>
      <c r="G70" s="31"/>
      <c r="H70" s="33"/>
      <c r="I70" s="33"/>
      <c r="J70" s="33"/>
      <c r="K70" s="92"/>
      <c r="L70" s="33"/>
      <c r="M70" s="92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15">
      <c r="A71" s="33"/>
      <c r="B71" s="33"/>
      <c r="C71" s="33"/>
      <c r="D71" s="33"/>
      <c r="E71" s="33"/>
      <c r="F71" s="91"/>
      <c r="G71" s="31"/>
      <c r="H71" s="33"/>
      <c r="I71" s="33"/>
      <c r="J71" s="33"/>
      <c r="K71" s="92"/>
      <c r="L71" s="33"/>
      <c r="M71" s="92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15">
      <c r="A72" s="33"/>
      <c r="B72" s="33"/>
      <c r="C72" s="33"/>
      <c r="D72" s="33"/>
      <c r="E72" s="33"/>
      <c r="F72" s="91"/>
      <c r="G72" s="31"/>
      <c r="H72" s="33"/>
      <c r="I72" s="33"/>
      <c r="J72" s="33"/>
      <c r="K72" s="92"/>
      <c r="L72" s="33"/>
      <c r="M72" s="92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15">
      <c r="A73" s="33"/>
      <c r="B73" s="33"/>
      <c r="C73" s="33"/>
      <c r="D73" s="33"/>
      <c r="E73" s="33"/>
      <c r="F73" s="91"/>
      <c r="G73" s="31"/>
      <c r="H73" s="33"/>
      <c r="I73" s="33"/>
      <c r="J73" s="33"/>
      <c r="K73" s="92"/>
      <c r="L73" s="33"/>
      <c r="M73" s="92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15">
      <c r="A74" s="33"/>
      <c r="B74" s="33"/>
      <c r="C74" s="33"/>
      <c r="D74" s="33"/>
      <c r="E74" s="33"/>
      <c r="F74" s="91"/>
      <c r="G74" s="31"/>
      <c r="H74" s="33"/>
      <c r="I74" s="33"/>
      <c r="J74" s="33"/>
      <c r="K74" s="92"/>
      <c r="L74" s="33"/>
      <c r="M74" s="92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15">
      <c r="A75" s="33"/>
      <c r="B75" s="33"/>
      <c r="C75" s="33"/>
      <c r="D75" s="33"/>
      <c r="E75" s="33"/>
      <c r="F75" s="91"/>
      <c r="G75" s="31"/>
      <c r="H75" s="33"/>
      <c r="I75" s="33"/>
      <c r="J75" s="33"/>
      <c r="K75" s="92"/>
      <c r="L75" s="33"/>
      <c r="M75" s="92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15">
      <c r="A76" s="33"/>
      <c r="B76" s="33"/>
      <c r="C76" s="33"/>
      <c r="D76" s="33"/>
      <c r="E76" s="33"/>
      <c r="F76" s="91"/>
      <c r="G76" s="31"/>
      <c r="H76" s="33"/>
      <c r="I76" s="33"/>
      <c r="J76" s="33"/>
      <c r="K76" s="92"/>
      <c r="L76" s="33"/>
      <c r="M76" s="92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15">
      <c r="A77" s="33"/>
      <c r="B77" s="33"/>
      <c r="C77" s="33"/>
      <c r="D77" s="33"/>
      <c r="E77" s="33"/>
      <c r="F77" s="91"/>
      <c r="G77" s="31"/>
      <c r="H77" s="33"/>
      <c r="I77" s="33"/>
      <c r="J77" s="33"/>
      <c r="K77" s="92"/>
      <c r="L77" s="33"/>
      <c r="M77" s="92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15">
      <c r="A78" s="33"/>
      <c r="B78" s="33"/>
      <c r="C78" s="33"/>
      <c r="D78" s="33"/>
      <c r="E78" s="33"/>
      <c r="F78" s="91"/>
      <c r="G78" s="31"/>
      <c r="H78" s="33"/>
      <c r="I78" s="33"/>
      <c r="J78" s="33"/>
      <c r="K78" s="92"/>
      <c r="L78" s="33"/>
      <c r="M78" s="92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15">
      <c r="A79" s="33"/>
      <c r="B79" s="33"/>
      <c r="C79" s="33"/>
      <c r="D79" s="33"/>
      <c r="E79" s="33"/>
      <c r="F79" s="91"/>
      <c r="G79" s="31"/>
      <c r="H79" s="33"/>
      <c r="I79" s="33"/>
      <c r="J79" s="33"/>
      <c r="K79" s="92"/>
      <c r="L79" s="33"/>
      <c r="M79" s="92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15">
      <c r="A80" s="33"/>
      <c r="B80" s="33"/>
      <c r="C80" s="33"/>
      <c r="D80" s="33"/>
      <c r="E80" s="33"/>
      <c r="F80" s="91"/>
      <c r="G80" s="31"/>
      <c r="H80" s="33"/>
      <c r="I80" s="33"/>
      <c r="J80" s="33"/>
      <c r="K80" s="92"/>
      <c r="L80" s="33"/>
      <c r="M80" s="92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15">
      <c r="A81" s="33"/>
      <c r="B81" s="33"/>
      <c r="C81" s="33"/>
      <c r="D81" s="33"/>
      <c r="E81" s="33"/>
      <c r="F81" s="91"/>
      <c r="G81" s="31"/>
      <c r="H81" s="33"/>
      <c r="I81" s="33"/>
      <c r="J81" s="33"/>
      <c r="K81" s="92"/>
      <c r="L81" s="33"/>
      <c r="M81" s="92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15">
      <c r="A82" s="33"/>
      <c r="B82" s="33"/>
      <c r="C82" s="33"/>
      <c r="D82" s="33"/>
      <c r="E82" s="33"/>
      <c r="F82" s="91"/>
      <c r="G82" s="31"/>
      <c r="H82" s="33"/>
      <c r="I82" s="33"/>
      <c r="J82" s="33"/>
      <c r="K82" s="92"/>
      <c r="L82" s="33"/>
      <c r="M82" s="92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15">
      <c r="A83" s="33"/>
      <c r="B83" s="33"/>
      <c r="C83" s="33"/>
      <c r="D83" s="33"/>
      <c r="E83" s="33"/>
      <c r="F83" s="91"/>
      <c r="G83" s="31"/>
      <c r="H83" s="33"/>
      <c r="I83" s="33"/>
      <c r="J83" s="33"/>
      <c r="K83" s="92"/>
      <c r="L83" s="33"/>
      <c r="M83" s="92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15">
      <c r="A84" s="33"/>
      <c r="B84" s="33"/>
      <c r="C84" s="33"/>
      <c r="D84" s="33"/>
      <c r="E84" s="33"/>
      <c r="F84" s="91"/>
      <c r="G84" s="31"/>
      <c r="H84" s="33"/>
      <c r="I84" s="33"/>
      <c r="J84" s="33"/>
      <c r="K84" s="92"/>
      <c r="L84" s="33"/>
      <c r="M84" s="92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15">
      <c r="A85" s="33"/>
      <c r="B85" s="33"/>
      <c r="C85" s="33"/>
      <c r="D85" s="33"/>
      <c r="E85" s="33"/>
      <c r="F85" s="91"/>
      <c r="G85" s="31"/>
      <c r="H85" s="33"/>
      <c r="I85" s="33"/>
      <c r="J85" s="33"/>
      <c r="K85" s="92"/>
      <c r="L85" s="33"/>
      <c r="M85" s="92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15">
      <c r="A86" s="33"/>
      <c r="B86" s="33"/>
      <c r="C86" s="33"/>
      <c r="D86" s="33"/>
      <c r="E86" s="33"/>
      <c r="F86" s="91"/>
      <c r="G86" s="31"/>
      <c r="H86" s="33"/>
      <c r="I86" s="33"/>
      <c r="J86" s="33"/>
      <c r="K86" s="92"/>
      <c r="L86" s="33"/>
      <c r="M86" s="92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15">
      <c r="A87" s="33"/>
      <c r="B87" s="33"/>
      <c r="C87" s="33"/>
      <c r="D87" s="33"/>
      <c r="E87" s="33"/>
      <c r="F87" s="91"/>
      <c r="G87" s="31"/>
      <c r="H87" s="33"/>
      <c r="I87" s="33"/>
      <c r="J87" s="33"/>
      <c r="K87" s="92"/>
      <c r="L87" s="33"/>
      <c r="M87" s="92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15">
      <c r="A88" s="33"/>
      <c r="B88" s="33"/>
      <c r="C88" s="33"/>
      <c r="D88" s="33"/>
      <c r="E88" s="33"/>
      <c r="F88" s="91"/>
      <c r="G88" s="31"/>
      <c r="H88" s="33"/>
      <c r="I88" s="33"/>
      <c r="J88" s="33"/>
      <c r="K88" s="92"/>
      <c r="L88" s="33"/>
      <c r="M88" s="92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15">
      <c r="A89" s="33"/>
      <c r="B89" s="33"/>
      <c r="C89" s="33"/>
      <c r="D89" s="33"/>
      <c r="E89" s="33"/>
      <c r="F89" s="91"/>
      <c r="G89" s="31"/>
      <c r="H89" s="33"/>
      <c r="I89" s="33"/>
      <c r="J89" s="33"/>
      <c r="K89" s="92"/>
      <c r="L89" s="33"/>
      <c r="M89" s="92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15">
      <c r="A90" s="33"/>
      <c r="B90" s="33"/>
      <c r="C90" s="33"/>
      <c r="D90" s="33"/>
      <c r="E90" s="33"/>
      <c r="F90" s="91"/>
      <c r="G90" s="31"/>
      <c r="H90" s="33"/>
      <c r="I90" s="33"/>
      <c r="J90" s="33"/>
      <c r="K90" s="92"/>
      <c r="L90" s="33"/>
      <c r="M90" s="92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15">
      <c r="A91" s="33"/>
      <c r="B91" s="33"/>
      <c r="C91" s="33"/>
      <c r="D91" s="33"/>
      <c r="E91" s="33"/>
      <c r="F91" s="91"/>
      <c r="G91" s="31"/>
      <c r="H91" s="33"/>
      <c r="I91" s="33"/>
      <c r="J91" s="33"/>
      <c r="K91" s="92"/>
      <c r="L91" s="33"/>
      <c r="M91" s="92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15">
      <c r="A92" s="33"/>
      <c r="B92" s="33"/>
      <c r="C92" s="33"/>
      <c r="D92" s="33"/>
      <c r="E92" s="33"/>
      <c r="F92" s="91"/>
      <c r="G92" s="31"/>
      <c r="H92" s="33"/>
      <c r="I92" s="33"/>
      <c r="J92" s="33"/>
      <c r="K92" s="92"/>
      <c r="L92" s="33"/>
      <c r="M92" s="92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15">
      <c r="A93" s="33"/>
      <c r="B93" s="33"/>
      <c r="C93" s="33"/>
      <c r="D93" s="33"/>
      <c r="E93" s="33"/>
      <c r="F93" s="91"/>
      <c r="G93" s="31"/>
      <c r="H93" s="33"/>
      <c r="I93" s="33"/>
      <c r="J93" s="33"/>
      <c r="K93" s="92"/>
      <c r="L93" s="33"/>
      <c r="M93" s="92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15">
      <c r="A94" s="33"/>
      <c r="B94" s="33"/>
      <c r="C94" s="33"/>
      <c r="D94" s="33"/>
      <c r="E94" s="33"/>
      <c r="F94" s="91"/>
      <c r="G94" s="31"/>
      <c r="H94" s="33"/>
      <c r="I94" s="33"/>
      <c r="J94" s="33"/>
      <c r="K94" s="92"/>
      <c r="L94" s="33"/>
      <c r="M94" s="92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15">
      <c r="A95" s="33"/>
      <c r="B95" s="33"/>
      <c r="C95" s="33"/>
      <c r="D95" s="33"/>
      <c r="E95" s="33"/>
      <c r="F95" s="91"/>
      <c r="G95" s="31"/>
      <c r="H95" s="33"/>
      <c r="I95" s="33"/>
      <c r="J95" s="33"/>
      <c r="K95" s="92"/>
      <c r="L95" s="33"/>
      <c r="M95" s="92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15">
      <c r="A96" s="33"/>
      <c r="B96" s="33"/>
      <c r="C96" s="33"/>
      <c r="D96" s="33"/>
      <c r="E96" s="33"/>
      <c r="F96" s="91"/>
      <c r="G96" s="31"/>
      <c r="H96" s="33"/>
      <c r="I96" s="33"/>
      <c r="J96" s="33"/>
      <c r="K96" s="92"/>
      <c r="L96" s="33"/>
      <c r="M96" s="92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15">
      <c r="A97" s="33"/>
      <c r="B97" s="33"/>
      <c r="C97" s="33"/>
      <c r="D97" s="33"/>
      <c r="E97" s="33"/>
      <c r="F97" s="91"/>
      <c r="G97" s="31"/>
      <c r="H97" s="33"/>
      <c r="I97" s="33"/>
      <c r="J97" s="33"/>
      <c r="K97" s="92"/>
      <c r="L97" s="33"/>
      <c r="M97" s="92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15">
      <c r="A98" s="33"/>
      <c r="B98" s="33"/>
      <c r="C98" s="33"/>
      <c r="D98" s="33"/>
      <c r="E98" s="33"/>
      <c r="F98" s="91"/>
      <c r="G98" s="31"/>
      <c r="H98" s="33"/>
      <c r="I98" s="33"/>
      <c r="J98" s="33"/>
      <c r="K98" s="92"/>
      <c r="L98" s="33"/>
      <c r="M98" s="92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15">
      <c r="A99" s="33"/>
      <c r="B99" s="33"/>
      <c r="C99" s="33"/>
      <c r="D99" s="33"/>
      <c r="E99" s="33"/>
      <c r="F99" s="91"/>
      <c r="G99" s="31"/>
      <c r="H99" s="33"/>
      <c r="I99" s="33"/>
      <c r="J99" s="33"/>
      <c r="K99" s="92"/>
      <c r="L99" s="33"/>
      <c r="M99" s="92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15">
      <c r="A100" s="33"/>
      <c r="B100" s="33"/>
      <c r="C100" s="33"/>
      <c r="D100" s="33"/>
      <c r="E100" s="33"/>
      <c r="F100" s="91"/>
      <c r="G100" s="31"/>
      <c r="H100" s="33"/>
      <c r="I100" s="33"/>
      <c r="J100" s="33"/>
      <c r="K100" s="92"/>
      <c r="L100" s="33"/>
      <c r="M100" s="92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15">
      <c r="A101" s="33"/>
      <c r="B101" s="33"/>
      <c r="C101" s="33"/>
      <c r="D101" s="33"/>
      <c r="E101" s="33"/>
      <c r="F101" s="91"/>
      <c r="G101" s="31"/>
      <c r="H101" s="33"/>
      <c r="I101" s="33"/>
      <c r="J101" s="33"/>
      <c r="K101" s="92"/>
      <c r="L101" s="33"/>
      <c r="M101" s="92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15">
      <c r="A102" s="33"/>
      <c r="B102" s="33"/>
      <c r="C102" s="33"/>
      <c r="D102" s="33"/>
      <c r="E102" s="33"/>
      <c r="F102" s="91"/>
      <c r="G102" s="31"/>
      <c r="H102" s="33"/>
      <c r="I102" s="33"/>
      <c r="J102" s="33"/>
      <c r="K102" s="92"/>
      <c r="L102" s="33"/>
      <c r="M102" s="92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15">
      <c r="A103" s="33"/>
      <c r="B103" s="33"/>
      <c r="C103" s="33"/>
      <c r="D103" s="33"/>
      <c r="E103" s="33"/>
      <c r="F103" s="91"/>
      <c r="G103" s="31"/>
      <c r="H103" s="33"/>
      <c r="I103" s="33"/>
      <c r="J103" s="33"/>
      <c r="K103" s="92"/>
      <c r="L103" s="33"/>
      <c r="M103" s="92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15">
      <c r="A104" s="33"/>
      <c r="B104" s="33"/>
      <c r="C104" s="33"/>
      <c r="D104" s="33"/>
      <c r="E104" s="33"/>
      <c r="F104" s="91"/>
      <c r="G104" s="31"/>
      <c r="H104" s="33"/>
      <c r="I104" s="33"/>
      <c r="J104" s="33"/>
      <c r="K104" s="92"/>
      <c r="L104" s="33"/>
      <c r="M104" s="92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15">
      <c r="A105" s="33"/>
      <c r="B105" s="33"/>
      <c r="C105" s="33"/>
      <c r="D105" s="33"/>
      <c r="E105" s="33"/>
      <c r="F105" s="91"/>
      <c r="G105" s="31"/>
      <c r="H105" s="33"/>
      <c r="I105" s="33"/>
      <c r="J105" s="33"/>
      <c r="K105" s="92"/>
      <c r="L105" s="33"/>
      <c r="M105" s="92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15">
      <c r="A106" s="33"/>
      <c r="B106" s="33"/>
      <c r="C106" s="33"/>
      <c r="D106" s="33"/>
      <c r="E106" s="33"/>
      <c r="F106" s="91"/>
      <c r="G106" s="31"/>
      <c r="H106" s="33"/>
      <c r="I106" s="33"/>
      <c r="J106" s="33"/>
      <c r="K106" s="92"/>
      <c r="L106" s="33"/>
      <c r="M106" s="92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15">
      <c r="A107" s="33"/>
      <c r="B107" s="33"/>
      <c r="C107" s="33"/>
      <c r="D107" s="33"/>
      <c r="E107" s="33"/>
      <c r="F107" s="91"/>
      <c r="G107" s="31"/>
      <c r="H107" s="33"/>
      <c r="I107" s="33"/>
      <c r="J107" s="33"/>
      <c r="K107" s="92"/>
      <c r="L107" s="33"/>
      <c r="M107" s="92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15">
      <c r="A108" s="33"/>
      <c r="B108" s="33"/>
      <c r="C108" s="33"/>
      <c r="D108" s="33"/>
      <c r="E108" s="33"/>
      <c r="F108" s="91"/>
      <c r="G108" s="31"/>
      <c r="H108" s="33"/>
      <c r="I108" s="33"/>
      <c r="J108" s="33"/>
      <c r="K108" s="92"/>
      <c r="L108" s="33"/>
      <c r="M108" s="92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15">
      <c r="A109" s="33"/>
      <c r="B109" s="33"/>
      <c r="C109" s="33"/>
      <c r="D109" s="33"/>
      <c r="E109" s="33"/>
      <c r="F109" s="91"/>
      <c r="G109" s="31"/>
      <c r="H109" s="33"/>
      <c r="I109" s="33"/>
      <c r="J109" s="33"/>
      <c r="K109" s="92"/>
      <c r="L109" s="33"/>
      <c r="M109" s="92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15">
      <c r="A110" s="33"/>
      <c r="B110" s="33"/>
      <c r="C110" s="33"/>
      <c r="D110" s="33"/>
      <c r="E110" s="33"/>
      <c r="F110" s="91"/>
      <c r="G110" s="31"/>
      <c r="H110" s="33"/>
      <c r="I110" s="33"/>
      <c r="J110" s="33"/>
      <c r="K110" s="92"/>
      <c r="L110" s="33"/>
      <c r="M110" s="92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15">
      <c r="A111" s="33"/>
      <c r="B111" s="33"/>
      <c r="C111" s="33"/>
      <c r="D111" s="33"/>
      <c r="E111" s="33"/>
      <c r="F111" s="91"/>
      <c r="G111" s="31"/>
      <c r="H111" s="33"/>
      <c r="I111" s="33"/>
      <c r="J111" s="33"/>
      <c r="K111" s="92"/>
      <c r="L111" s="33"/>
      <c r="M111" s="92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15">
      <c r="A112" s="33"/>
      <c r="B112" s="33"/>
      <c r="C112" s="33"/>
      <c r="D112" s="33"/>
      <c r="E112" s="33"/>
      <c r="F112" s="91"/>
      <c r="G112" s="31"/>
      <c r="H112" s="33"/>
      <c r="I112" s="33"/>
      <c r="J112" s="33"/>
      <c r="K112" s="92"/>
      <c r="L112" s="33"/>
      <c r="M112" s="92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15">
      <c r="A113" s="33"/>
      <c r="B113" s="33"/>
      <c r="C113" s="33"/>
      <c r="D113" s="33"/>
      <c r="E113" s="33"/>
      <c r="F113" s="91"/>
      <c r="G113" s="31"/>
      <c r="H113" s="33"/>
      <c r="I113" s="33"/>
      <c r="J113" s="33"/>
      <c r="K113" s="92"/>
      <c r="L113" s="33"/>
      <c r="M113" s="92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15">
      <c r="A114" s="33"/>
      <c r="B114" s="33"/>
      <c r="C114" s="33"/>
      <c r="D114" s="33"/>
      <c r="E114" s="33"/>
      <c r="F114" s="91"/>
      <c r="G114" s="31"/>
      <c r="H114" s="33"/>
      <c r="I114" s="33"/>
      <c r="J114" s="33"/>
      <c r="K114" s="92"/>
      <c r="L114" s="33"/>
      <c r="M114" s="92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15">
      <c r="A115" s="33"/>
      <c r="B115" s="33"/>
      <c r="C115" s="33"/>
      <c r="D115" s="33"/>
      <c r="E115" s="33"/>
      <c r="F115" s="91"/>
      <c r="G115" s="31"/>
      <c r="H115" s="33"/>
      <c r="I115" s="33"/>
      <c r="J115" s="33"/>
      <c r="K115" s="92"/>
      <c r="L115" s="33"/>
      <c r="M115" s="92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15">
      <c r="A116" s="33"/>
      <c r="B116" s="33"/>
      <c r="C116" s="33"/>
      <c r="D116" s="33"/>
      <c r="E116" s="33"/>
      <c r="F116" s="91"/>
      <c r="G116" s="31"/>
      <c r="H116" s="33"/>
      <c r="I116" s="33"/>
      <c r="J116" s="33"/>
      <c r="K116" s="92"/>
      <c r="L116" s="33"/>
      <c r="M116" s="92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15">
      <c r="A117" s="33"/>
      <c r="B117" s="33"/>
      <c r="C117" s="33"/>
      <c r="D117" s="33"/>
      <c r="E117" s="33"/>
      <c r="F117" s="91"/>
      <c r="G117" s="31"/>
      <c r="H117" s="33"/>
      <c r="I117" s="33"/>
      <c r="J117" s="33"/>
      <c r="K117" s="92"/>
      <c r="L117" s="33"/>
      <c r="M117" s="92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15">
      <c r="A118" s="33"/>
      <c r="B118" s="33"/>
      <c r="C118" s="33"/>
      <c r="D118" s="33"/>
      <c r="E118" s="33"/>
      <c r="F118" s="91"/>
      <c r="G118" s="31"/>
      <c r="H118" s="33"/>
      <c r="I118" s="33"/>
      <c r="J118" s="33"/>
      <c r="K118" s="92"/>
      <c r="L118" s="33"/>
      <c r="M118" s="92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15">
      <c r="A119" s="33"/>
      <c r="B119" s="33"/>
      <c r="C119" s="33"/>
      <c r="D119" s="33"/>
      <c r="E119" s="33"/>
      <c r="F119" s="91"/>
      <c r="G119" s="31"/>
      <c r="H119" s="33"/>
      <c r="I119" s="33"/>
      <c r="J119" s="33"/>
      <c r="K119" s="92"/>
      <c r="L119" s="33"/>
      <c r="M119" s="92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15">
      <c r="A120" s="33"/>
      <c r="B120" s="33"/>
      <c r="C120" s="33"/>
      <c r="D120" s="33"/>
      <c r="E120" s="33"/>
      <c r="F120" s="91"/>
      <c r="G120" s="31"/>
      <c r="H120" s="33"/>
      <c r="I120" s="33"/>
      <c r="J120" s="33"/>
      <c r="K120" s="92"/>
      <c r="L120" s="33"/>
      <c r="M120" s="92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15">
      <c r="A121" s="33"/>
      <c r="B121" s="33"/>
      <c r="C121" s="33"/>
      <c r="D121" s="33"/>
      <c r="E121" s="33"/>
      <c r="F121" s="91"/>
      <c r="G121" s="31"/>
      <c r="H121" s="33"/>
      <c r="I121" s="33"/>
      <c r="J121" s="33"/>
      <c r="K121" s="92"/>
      <c r="L121" s="33"/>
      <c r="M121" s="92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15">
      <c r="A122" s="33"/>
      <c r="B122" s="33"/>
      <c r="C122" s="33"/>
      <c r="D122" s="33"/>
      <c r="E122" s="33"/>
      <c r="F122" s="91"/>
      <c r="G122" s="31"/>
      <c r="H122" s="33"/>
      <c r="I122" s="33"/>
      <c r="J122" s="33"/>
      <c r="K122" s="92"/>
      <c r="L122" s="33"/>
      <c r="M122" s="92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15">
      <c r="A123" s="33"/>
      <c r="B123" s="33"/>
      <c r="C123" s="33"/>
      <c r="D123" s="33"/>
      <c r="E123" s="33"/>
      <c r="F123" s="91"/>
      <c r="G123" s="31"/>
      <c r="H123" s="33"/>
      <c r="I123" s="33"/>
      <c r="J123" s="33"/>
      <c r="K123" s="92"/>
      <c r="L123" s="33"/>
      <c r="M123" s="92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15">
      <c r="A124" s="33"/>
      <c r="B124" s="33"/>
      <c r="C124" s="33"/>
      <c r="D124" s="33"/>
      <c r="E124" s="33"/>
      <c r="F124" s="91"/>
      <c r="G124" s="31"/>
      <c r="H124" s="33"/>
      <c r="I124" s="33"/>
      <c r="J124" s="33"/>
      <c r="K124" s="92"/>
      <c r="L124" s="33"/>
      <c r="M124" s="92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15">
      <c r="A125" s="33"/>
      <c r="B125" s="33"/>
      <c r="C125" s="33"/>
      <c r="D125" s="33"/>
      <c r="E125" s="33"/>
      <c r="F125" s="91"/>
      <c r="G125" s="31"/>
      <c r="H125" s="33"/>
      <c r="I125" s="33"/>
      <c r="J125" s="33"/>
      <c r="K125" s="92"/>
      <c r="L125" s="33"/>
      <c r="M125" s="92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15">
      <c r="A126" s="33"/>
      <c r="B126" s="33"/>
      <c r="C126" s="33"/>
      <c r="D126" s="33"/>
      <c r="E126" s="33"/>
      <c r="F126" s="91"/>
      <c r="G126" s="31"/>
      <c r="H126" s="33"/>
      <c r="I126" s="33"/>
      <c r="J126" s="33"/>
      <c r="K126" s="92"/>
      <c r="L126" s="33"/>
      <c r="M126" s="92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15">
      <c r="A127" s="33"/>
      <c r="B127" s="33"/>
      <c r="C127" s="33"/>
      <c r="D127" s="33"/>
      <c r="E127" s="33"/>
      <c r="F127" s="91"/>
      <c r="G127" s="31"/>
      <c r="H127" s="33"/>
      <c r="I127" s="33"/>
      <c r="J127" s="33"/>
      <c r="K127" s="92"/>
      <c r="L127" s="33"/>
      <c r="M127" s="92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15">
      <c r="A128" s="33"/>
      <c r="B128" s="33"/>
      <c r="C128" s="33"/>
      <c r="D128" s="33"/>
      <c r="E128" s="33"/>
      <c r="F128" s="91"/>
      <c r="G128" s="31"/>
      <c r="H128" s="33"/>
      <c r="I128" s="33"/>
      <c r="J128" s="33"/>
      <c r="K128" s="92"/>
      <c r="L128" s="33"/>
      <c r="M128" s="92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15">
      <c r="A129" s="33"/>
      <c r="B129" s="33"/>
      <c r="C129" s="33"/>
      <c r="D129" s="33"/>
      <c r="E129" s="33"/>
      <c r="F129" s="91"/>
      <c r="G129" s="31"/>
      <c r="H129" s="33"/>
      <c r="I129" s="33"/>
      <c r="J129" s="33"/>
      <c r="K129" s="92"/>
      <c r="L129" s="33"/>
      <c r="M129" s="92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15">
      <c r="A130" s="33"/>
      <c r="B130" s="33"/>
      <c r="C130" s="33"/>
      <c r="D130" s="33"/>
      <c r="E130" s="33"/>
      <c r="F130" s="91"/>
      <c r="G130" s="31"/>
      <c r="H130" s="33"/>
      <c r="I130" s="33"/>
      <c r="J130" s="33"/>
      <c r="K130" s="92"/>
      <c r="L130" s="33"/>
      <c r="M130" s="92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15">
      <c r="A131" s="33"/>
      <c r="B131" s="33"/>
      <c r="C131" s="33"/>
      <c r="D131" s="33"/>
      <c r="E131" s="33"/>
      <c r="F131" s="91"/>
      <c r="G131" s="31"/>
      <c r="H131" s="33"/>
      <c r="I131" s="33"/>
      <c r="J131" s="33"/>
      <c r="K131" s="92"/>
      <c r="L131" s="33"/>
      <c r="M131" s="92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15">
      <c r="A132" s="33"/>
      <c r="B132" s="33"/>
      <c r="C132" s="33"/>
      <c r="D132" s="33"/>
      <c r="E132" s="33"/>
      <c r="F132" s="91"/>
      <c r="G132" s="31"/>
      <c r="H132" s="33"/>
      <c r="I132" s="33"/>
      <c r="J132" s="33"/>
      <c r="K132" s="92"/>
      <c r="L132" s="33"/>
      <c r="M132" s="92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15">
      <c r="A133" s="33"/>
      <c r="B133" s="33"/>
      <c r="C133" s="33"/>
      <c r="D133" s="33"/>
      <c r="E133" s="33"/>
      <c r="F133" s="91"/>
      <c r="G133" s="31"/>
      <c r="H133" s="33"/>
      <c r="I133" s="33"/>
      <c r="J133" s="33"/>
      <c r="K133" s="92"/>
      <c r="L133" s="33"/>
      <c r="M133" s="92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15">
      <c r="A134" s="33"/>
      <c r="B134" s="33"/>
      <c r="C134" s="33"/>
      <c r="D134" s="33"/>
      <c r="E134" s="33"/>
      <c r="F134" s="91"/>
      <c r="G134" s="31"/>
      <c r="H134" s="33"/>
      <c r="I134" s="33"/>
      <c r="J134" s="33"/>
      <c r="K134" s="92"/>
      <c r="L134" s="33"/>
      <c r="M134" s="92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15">
      <c r="A135" s="33"/>
      <c r="B135" s="33"/>
      <c r="C135" s="33"/>
      <c r="D135" s="33"/>
      <c r="E135" s="33"/>
      <c r="F135" s="91"/>
      <c r="G135" s="31"/>
      <c r="H135" s="33"/>
      <c r="I135" s="33"/>
      <c r="J135" s="33"/>
      <c r="K135" s="92"/>
      <c r="L135" s="33"/>
      <c r="M135" s="92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15">
      <c r="A136" s="33"/>
      <c r="B136" s="33"/>
      <c r="C136" s="33"/>
      <c r="D136" s="33"/>
      <c r="E136" s="33"/>
      <c r="F136" s="91"/>
      <c r="G136" s="31"/>
      <c r="H136" s="33"/>
      <c r="I136" s="33"/>
      <c r="J136" s="33"/>
      <c r="K136" s="92"/>
      <c r="L136" s="33"/>
      <c r="M136" s="92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15">
      <c r="A137" s="33"/>
      <c r="B137" s="33"/>
      <c r="C137" s="33"/>
      <c r="D137" s="33"/>
      <c r="E137" s="33"/>
      <c r="F137" s="91"/>
      <c r="G137" s="31"/>
      <c r="H137" s="33"/>
      <c r="I137" s="33"/>
      <c r="J137" s="33"/>
      <c r="K137" s="92"/>
      <c r="L137" s="33"/>
      <c r="M137" s="92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15">
      <c r="A138" s="33"/>
      <c r="B138" s="33"/>
      <c r="C138" s="33"/>
      <c r="D138" s="33"/>
      <c r="E138" s="33"/>
      <c r="F138" s="91"/>
      <c r="G138" s="31"/>
      <c r="H138" s="33"/>
      <c r="I138" s="33"/>
      <c r="J138" s="33"/>
      <c r="K138" s="92"/>
      <c r="L138" s="33"/>
      <c r="M138" s="92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15">
      <c r="A139" s="33"/>
      <c r="B139" s="33"/>
      <c r="C139" s="33"/>
      <c r="D139" s="33"/>
      <c r="E139" s="33"/>
      <c r="F139" s="91"/>
      <c r="G139" s="31"/>
      <c r="H139" s="33"/>
      <c r="I139" s="33"/>
      <c r="J139" s="33"/>
      <c r="K139" s="92"/>
      <c r="L139" s="33"/>
      <c r="M139" s="92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15">
      <c r="A140" s="33"/>
      <c r="B140" s="33"/>
      <c r="C140" s="33"/>
      <c r="D140" s="33"/>
      <c r="E140" s="33"/>
      <c r="F140" s="91"/>
      <c r="G140" s="31"/>
      <c r="H140" s="33"/>
      <c r="I140" s="33"/>
      <c r="J140" s="33"/>
      <c r="K140" s="92"/>
      <c r="L140" s="33"/>
      <c r="M140" s="92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15">
      <c r="A141" s="33"/>
      <c r="B141" s="33"/>
      <c r="C141" s="33"/>
      <c r="D141" s="33"/>
      <c r="E141" s="33"/>
      <c r="F141" s="91"/>
      <c r="G141" s="31"/>
      <c r="H141" s="33"/>
      <c r="I141" s="33"/>
      <c r="J141" s="33"/>
      <c r="K141" s="92"/>
      <c r="L141" s="33"/>
      <c r="M141" s="92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15">
      <c r="A142" s="33"/>
      <c r="B142" s="33"/>
      <c r="C142" s="33"/>
      <c r="D142" s="33"/>
      <c r="E142" s="33"/>
      <c r="F142" s="91"/>
      <c r="G142" s="31"/>
      <c r="H142" s="33"/>
      <c r="I142" s="33"/>
      <c r="J142" s="33"/>
      <c r="K142" s="92"/>
      <c r="L142" s="33"/>
      <c r="M142" s="92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15">
      <c r="A143" s="33"/>
      <c r="B143" s="33"/>
      <c r="C143" s="33"/>
      <c r="D143" s="33"/>
      <c r="E143" s="33"/>
      <c r="F143" s="91"/>
      <c r="G143" s="31"/>
      <c r="H143" s="33"/>
      <c r="I143" s="33"/>
      <c r="J143" s="33"/>
      <c r="K143" s="92"/>
      <c r="L143" s="33"/>
      <c r="M143" s="92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15">
      <c r="A144" s="33"/>
      <c r="B144" s="33"/>
      <c r="C144" s="33"/>
      <c r="D144" s="33"/>
      <c r="E144" s="33"/>
      <c r="F144" s="91"/>
      <c r="G144" s="31"/>
      <c r="H144" s="33"/>
      <c r="I144" s="33"/>
      <c r="J144" s="33"/>
      <c r="K144" s="92"/>
      <c r="L144" s="33"/>
      <c r="M144" s="92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15">
      <c r="A145" s="33"/>
      <c r="B145" s="33"/>
      <c r="C145" s="33"/>
      <c r="D145" s="33"/>
      <c r="E145" s="33"/>
      <c r="F145" s="91"/>
      <c r="G145" s="31"/>
      <c r="H145" s="33"/>
      <c r="I145" s="33"/>
      <c r="J145" s="33"/>
      <c r="K145" s="92"/>
      <c r="L145" s="33"/>
      <c r="M145" s="92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15">
      <c r="A146" s="33"/>
      <c r="B146" s="33"/>
      <c r="C146" s="33"/>
      <c r="D146" s="33"/>
      <c r="E146" s="33"/>
      <c r="F146" s="91"/>
      <c r="G146" s="31"/>
      <c r="H146" s="33"/>
      <c r="I146" s="33"/>
      <c r="J146" s="33"/>
      <c r="K146" s="92"/>
      <c r="L146" s="33"/>
      <c r="M146" s="92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15">
      <c r="A147" s="33"/>
      <c r="B147" s="33"/>
      <c r="C147" s="33"/>
      <c r="D147" s="33"/>
      <c r="E147" s="33"/>
      <c r="F147" s="91"/>
      <c r="G147" s="31"/>
      <c r="H147" s="33"/>
      <c r="I147" s="33"/>
      <c r="J147" s="33"/>
      <c r="K147" s="92"/>
      <c r="L147" s="33"/>
      <c r="M147" s="92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15">
      <c r="A148" s="33"/>
      <c r="B148" s="33"/>
      <c r="C148" s="33"/>
      <c r="D148" s="33"/>
      <c r="E148" s="33"/>
      <c r="F148" s="91"/>
      <c r="G148" s="31"/>
      <c r="H148" s="33"/>
      <c r="I148" s="33"/>
      <c r="J148" s="33"/>
      <c r="K148" s="92"/>
      <c r="L148" s="33"/>
      <c r="M148" s="92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15">
      <c r="A149" s="33"/>
      <c r="B149" s="33"/>
      <c r="C149" s="33"/>
      <c r="D149" s="33"/>
      <c r="E149" s="33"/>
      <c r="F149" s="91"/>
      <c r="G149" s="31"/>
      <c r="H149" s="33"/>
      <c r="I149" s="33"/>
      <c r="J149" s="33"/>
      <c r="K149" s="92"/>
      <c r="L149" s="33"/>
      <c r="M149" s="92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15">
      <c r="A150" s="33"/>
      <c r="B150" s="33"/>
      <c r="C150" s="33"/>
      <c r="D150" s="33"/>
      <c r="E150" s="33"/>
      <c r="F150" s="91"/>
      <c r="G150" s="31"/>
      <c r="H150" s="33"/>
      <c r="I150" s="33"/>
      <c r="J150" s="33"/>
      <c r="K150" s="92"/>
      <c r="L150" s="33"/>
      <c r="M150" s="92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15">
      <c r="A151" s="33"/>
      <c r="B151" s="33"/>
      <c r="C151" s="33"/>
      <c r="D151" s="33"/>
      <c r="E151" s="33"/>
      <c r="F151" s="91"/>
      <c r="G151" s="31"/>
      <c r="H151" s="33"/>
      <c r="I151" s="33"/>
      <c r="J151" s="33"/>
      <c r="K151" s="92"/>
      <c r="L151" s="33"/>
      <c r="M151" s="92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15">
      <c r="A152" s="33"/>
      <c r="B152" s="33"/>
      <c r="C152" s="33"/>
      <c r="D152" s="33"/>
      <c r="E152" s="33"/>
      <c r="F152" s="91"/>
      <c r="G152" s="31"/>
      <c r="H152" s="33"/>
      <c r="I152" s="33"/>
      <c r="J152" s="33"/>
      <c r="K152" s="92"/>
      <c r="L152" s="33"/>
      <c r="M152" s="92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15">
      <c r="A153" s="33"/>
      <c r="B153" s="33"/>
      <c r="C153" s="33"/>
      <c r="D153" s="33"/>
      <c r="E153" s="33"/>
      <c r="F153" s="91"/>
      <c r="G153" s="31"/>
      <c r="H153" s="33"/>
      <c r="I153" s="33"/>
      <c r="J153" s="33"/>
      <c r="K153" s="92"/>
      <c r="L153" s="33"/>
      <c r="M153" s="92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15">
      <c r="A154" s="33"/>
      <c r="B154" s="33"/>
      <c r="C154" s="33"/>
      <c r="D154" s="33"/>
      <c r="E154" s="33"/>
      <c r="F154" s="91"/>
      <c r="G154" s="31"/>
      <c r="H154" s="33"/>
      <c r="I154" s="33"/>
      <c r="J154" s="33"/>
      <c r="K154" s="92"/>
      <c r="L154" s="33"/>
      <c r="M154" s="92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15">
      <c r="A155" s="33"/>
      <c r="B155" s="33"/>
      <c r="C155" s="33"/>
      <c r="D155" s="33"/>
      <c r="E155" s="33"/>
      <c r="F155" s="91"/>
      <c r="G155" s="31"/>
      <c r="H155" s="33"/>
      <c r="I155" s="33"/>
      <c r="J155" s="33"/>
      <c r="K155" s="92"/>
      <c r="L155" s="33"/>
      <c r="M155" s="92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15">
      <c r="A156" s="33"/>
      <c r="B156" s="33"/>
      <c r="C156" s="33"/>
      <c r="D156" s="33"/>
      <c r="E156" s="33"/>
      <c r="F156" s="91"/>
      <c r="G156" s="31"/>
      <c r="H156" s="33"/>
      <c r="I156" s="33"/>
      <c r="J156" s="33"/>
      <c r="K156" s="92"/>
      <c r="L156" s="33"/>
      <c r="M156" s="92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15">
      <c r="A157" s="33"/>
      <c r="B157" s="33"/>
      <c r="C157" s="33"/>
      <c r="D157" s="33"/>
      <c r="E157" s="33"/>
      <c r="F157" s="91"/>
      <c r="G157" s="31"/>
      <c r="H157" s="33"/>
      <c r="I157" s="33"/>
      <c r="J157" s="33"/>
      <c r="K157" s="92"/>
      <c r="L157" s="33"/>
      <c r="M157" s="92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15">
      <c r="A158" s="33"/>
      <c r="B158" s="33"/>
      <c r="C158" s="33"/>
      <c r="D158" s="33"/>
      <c r="E158" s="33"/>
      <c r="F158" s="91"/>
      <c r="G158" s="31"/>
      <c r="H158" s="33"/>
      <c r="I158" s="33"/>
      <c r="J158" s="33"/>
      <c r="K158" s="92"/>
      <c r="L158" s="33"/>
      <c r="M158" s="92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15">
      <c r="A159" s="33"/>
      <c r="B159" s="33"/>
      <c r="C159" s="33"/>
      <c r="D159" s="33"/>
      <c r="E159" s="33"/>
      <c r="F159" s="91"/>
      <c r="G159" s="31"/>
      <c r="H159" s="33"/>
      <c r="I159" s="33"/>
      <c r="J159" s="33"/>
      <c r="K159" s="92"/>
      <c r="L159" s="33"/>
      <c r="M159" s="92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15">
      <c r="A160" s="33"/>
      <c r="B160" s="33"/>
      <c r="C160" s="33"/>
      <c r="D160" s="33"/>
      <c r="E160" s="33"/>
      <c r="F160" s="91"/>
      <c r="G160" s="31"/>
      <c r="H160" s="33"/>
      <c r="I160" s="33"/>
      <c r="J160" s="33"/>
      <c r="K160" s="92"/>
      <c r="L160" s="33"/>
      <c r="M160" s="92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15">
      <c r="A161" s="33"/>
      <c r="B161" s="33"/>
      <c r="C161" s="33"/>
      <c r="D161" s="33"/>
      <c r="E161" s="33"/>
      <c r="F161" s="91"/>
      <c r="G161" s="31"/>
      <c r="H161" s="33"/>
      <c r="I161" s="33"/>
      <c r="J161" s="33"/>
      <c r="K161" s="92"/>
      <c r="L161" s="33"/>
      <c r="M161" s="92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15">
      <c r="A162" s="33"/>
      <c r="B162" s="33"/>
      <c r="C162" s="33"/>
      <c r="D162" s="33"/>
      <c r="E162" s="33"/>
      <c r="F162" s="91"/>
      <c r="G162" s="31"/>
      <c r="H162" s="33"/>
      <c r="I162" s="33"/>
      <c r="J162" s="33"/>
      <c r="K162" s="92"/>
      <c r="L162" s="33"/>
      <c r="M162" s="92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15">
      <c r="A163" s="33"/>
      <c r="B163" s="33"/>
      <c r="C163" s="33"/>
      <c r="D163" s="33"/>
      <c r="E163" s="33"/>
      <c r="F163" s="91"/>
      <c r="G163" s="31"/>
      <c r="H163" s="33"/>
      <c r="I163" s="33"/>
      <c r="J163" s="33"/>
      <c r="K163" s="92"/>
      <c r="L163" s="33"/>
      <c r="M163" s="92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15">
      <c r="A164" s="33"/>
      <c r="B164" s="33"/>
      <c r="C164" s="33"/>
      <c r="D164" s="33"/>
      <c r="E164" s="33"/>
      <c r="F164" s="91"/>
      <c r="G164" s="31"/>
      <c r="H164" s="33"/>
      <c r="I164" s="33"/>
      <c r="J164" s="33"/>
      <c r="K164" s="92"/>
      <c r="L164" s="33"/>
      <c r="M164" s="92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15">
      <c r="A165" s="33"/>
      <c r="B165" s="33"/>
      <c r="C165" s="33"/>
      <c r="D165" s="33"/>
      <c r="E165" s="33"/>
      <c r="F165" s="91"/>
      <c r="G165" s="31"/>
      <c r="H165" s="33"/>
      <c r="I165" s="33"/>
      <c r="J165" s="33"/>
      <c r="K165" s="92"/>
      <c r="L165" s="33"/>
      <c r="M165" s="92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15">
      <c r="A166" s="33"/>
      <c r="B166" s="33"/>
      <c r="C166" s="33"/>
      <c r="D166" s="33"/>
      <c r="E166" s="33"/>
      <c r="F166" s="91"/>
      <c r="G166" s="31"/>
      <c r="H166" s="33"/>
      <c r="I166" s="33"/>
      <c r="J166" s="33"/>
      <c r="K166" s="92"/>
      <c r="L166" s="33"/>
      <c r="M166" s="92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15">
      <c r="A167" s="33"/>
      <c r="B167" s="33"/>
      <c r="C167" s="33"/>
      <c r="D167" s="33"/>
      <c r="E167" s="33"/>
      <c r="F167" s="91"/>
      <c r="G167" s="31"/>
      <c r="H167" s="33"/>
      <c r="I167" s="33"/>
      <c r="J167" s="33"/>
      <c r="K167" s="92"/>
      <c r="L167" s="33"/>
      <c r="M167" s="92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15">
      <c r="A168" s="33"/>
      <c r="B168" s="33"/>
      <c r="C168" s="33"/>
      <c r="D168" s="33"/>
      <c r="E168" s="33"/>
      <c r="F168" s="91"/>
      <c r="G168" s="31"/>
      <c r="H168" s="33"/>
      <c r="I168" s="33"/>
      <c r="J168" s="33"/>
      <c r="K168" s="92"/>
      <c r="L168" s="33"/>
      <c r="M168" s="92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15">
      <c r="A169" s="33"/>
      <c r="B169" s="33"/>
      <c r="C169" s="33"/>
      <c r="D169" s="33"/>
      <c r="E169" s="33"/>
      <c r="F169" s="91"/>
      <c r="G169" s="31"/>
      <c r="H169" s="33"/>
      <c r="I169" s="33"/>
      <c r="J169" s="33"/>
      <c r="K169" s="92"/>
      <c r="L169" s="33"/>
      <c r="M169" s="92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15">
      <c r="A170" s="33"/>
      <c r="B170" s="33"/>
      <c r="C170" s="33"/>
      <c r="D170" s="33"/>
      <c r="E170" s="33"/>
      <c r="F170" s="91"/>
      <c r="G170" s="31"/>
      <c r="H170" s="33"/>
      <c r="I170" s="33"/>
      <c r="J170" s="33"/>
      <c r="K170" s="92"/>
      <c r="L170" s="33"/>
      <c r="M170" s="92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15">
      <c r="A171" s="33"/>
      <c r="B171" s="33"/>
      <c r="C171" s="33"/>
      <c r="D171" s="33"/>
      <c r="E171" s="33"/>
      <c r="F171" s="91"/>
      <c r="G171" s="31"/>
      <c r="H171" s="33"/>
      <c r="I171" s="33"/>
      <c r="J171" s="33"/>
      <c r="K171" s="92"/>
      <c r="L171" s="33"/>
      <c r="M171" s="92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15">
      <c r="A172" s="33"/>
      <c r="B172" s="33"/>
      <c r="C172" s="33"/>
      <c r="D172" s="33"/>
      <c r="E172" s="33"/>
      <c r="F172" s="91"/>
      <c r="G172" s="31"/>
      <c r="H172" s="33"/>
      <c r="I172" s="33"/>
      <c r="J172" s="33"/>
      <c r="K172" s="92"/>
      <c r="L172" s="33"/>
      <c r="M172" s="92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15">
      <c r="A173" s="33"/>
      <c r="B173" s="33"/>
      <c r="C173" s="33"/>
      <c r="D173" s="33"/>
      <c r="E173" s="33"/>
      <c r="F173" s="91"/>
      <c r="G173" s="31"/>
      <c r="H173" s="33"/>
      <c r="I173" s="33"/>
      <c r="J173" s="33"/>
      <c r="K173" s="92"/>
      <c r="L173" s="33"/>
      <c r="M173" s="92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15">
      <c r="A174" s="33"/>
      <c r="B174" s="33"/>
      <c r="C174" s="33"/>
      <c r="D174" s="33"/>
      <c r="E174" s="33"/>
      <c r="F174" s="91"/>
      <c r="G174" s="31"/>
      <c r="H174" s="33"/>
      <c r="I174" s="33"/>
      <c r="J174" s="33"/>
      <c r="K174" s="92"/>
      <c r="L174" s="33"/>
      <c r="M174" s="92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15">
      <c r="A175" s="33"/>
      <c r="B175" s="33"/>
      <c r="C175" s="33"/>
      <c r="D175" s="33"/>
      <c r="E175" s="33"/>
      <c r="F175" s="91"/>
      <c r="G175" s="31"/>
      <c r="H175" s="33"/>
      <c r="I175" s="33"/>
      <c r="J175" s="33"/>
      <c r="K175" s="92"/>
      <c r="L175" s="33"/>
      <c r="M175" s="92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15">
      <c r="A176" s="33"/>
      <c r="B176" s="33"/>
      <c r="C176" s="33"/>
      <c r="D176" s="33"/>
      <c r="E176" s="33"/>
      <c r="F176" s="91"/>
      <c r="G176" s="31"/>
      <c r="H176" s="33"/>
      <c r="I176" s="33"/>
      <c r="J176" s="33"/>
      <c r="K176" s="92"/>
      <c r="L176" s="33"/>
      <c r="M176" s="92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15">
      <c r="A177" s="33"/>
      <c r="B177" s="33"/>
      <c r="C177" s="33"/>
      <c r="D177" s="33"/>
      <c r="E177" s="33"/>
      <c r="F177" s="91"/>
      <c r="G177" s="31"/>
      <c r="H177" s="33"/>
      <c r="I177" s="33"/>
      <c r="J177" s="33"/>
      <c r="K177" s="92"/>
      <c r="L177" s="33"/>
      <c r="M177" s="92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15">
      <c r="A178" s="33"/>
      <c r="B178" s="33"/>
      <c r="C178" s="33"/>
      <c r="D178" s="33"/>
      <c r="E178" s="33"/>
      <c r="F178" s="91"/>
      <c r="G178" s="31"/>
      <c r="H178" s="33"/>
      <c r="I178" s="33"/>
      <c r="J178" s="33"/>
      <c r="K178" s="92"/>
      <c r="L178" s="33"/>
      <c r="M178" s="92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15">
      <c r="A179" s="33"/>
      <c r="B179" s="33"/>
      <c r="C179" s="33"/>
      <c r="D179" s="33"/>
      <c r="E179" s="33"/>
      <c r="F179" s="91"/>
      <c r="G179" s="31"/>
      <c r="H179" s="33"/>
      <c r="I179" s="33"/>
      <c r="J179" s="33"/>
      <c r="K179" s="92"/>
      <c r="L179" s="33"/>
      <c r="M179" s="92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15">
      <c r="A180" s="33"/>
      <c r="B180" s="33"/>
      <c r="C180" s="33"/>
      <c r="D180" s="33"/>
      <c r="E180" s="33"/>
      <c r="F180" s="91"/>
      <c r="G180" s="31"/>
      <c r="H180" s="33"/>
      <c r="I180" s="33"/>
      <c r="J180" s="33"/>
      <c r="K180" s="92"/>
      <c r="L180" s="33"/>
      <c r="M180" s="92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15">
      <c r="A181" s="33"/>
      <c r="B181" s="33"/>
      <c r="C181" s="33"/>
      <c r="D181" s="33"/>
      <c r="E181" s="33"/>
      <c r="F181" s="91"/>
      <c r="G181" s="31"/>
      <c r="H181" s="33"/>
      <c r="I181" s="33"/>
      <c r="J181" s="33"/>
      <c r="K181" s="92"/>
      <c r="L181" s="33"/>
      <c r="M181" s="92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15">
      <c r="A182" s="33"/>
      <c r="B182" s="33"/>
      <c r="C182" s="33"/>
      <c r="D182" s="33"/>
      <c r="E182" s="33"/>
      <c r="F182" s="91"/>
      <c r="G182" s="31"/>
      <c r="H182" s="33"/>
      <c r="I182" s="33"/>
      <c r="J182" s="33"/>
      <c r="K182" s="92"/>
      <c r="L182" s="33"/>
      <c r="M182" s="92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15">
      <c r="A183" s="33"/>
      <c r="B183" s="33"/>
      <c r="C183" s="33"/>
      <c r="D183" s="33"/>
      <c r="E183" s="33"/>
      <c r="F183" s="91"/>
      <c r="G183" s="31"/>
      <c r="H183" s="33"/>
      <c r="I183" s="33"/>
      <c r="J183" s="33"/>
      <c r="K183" s="92"/>
      <c r="L183" s="33"/>
      <c r="M183" s="92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15">
      <c r="A184" s="33"/>
      <c r="B184" s="33"/>
      <c r="C184" s="33"/>
      <c r="D184" s="33"/>
      <c r="E184" s="33"/>
      <c r="F184" s="91"/>
      <c r="G184" s="31"/>
      <c r="H184" s="33"/>
      <c r="I184" s="33"/>
      <c r="J184" s="33"/>
      <c r="K184" s="92"/>
      <c r="L184" s="33"/>
      <c r="M184" s="92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15">
      <c r="A185" s="33"/>
      <c r="B185" s="33"/>
      <c r="C185" s="33"/>
      <c r="D185" s="33"/>
      <c r="E185" s="33"/>
      <c r="F185" s="91"/>
      <c r="G185" s="31"/>
      <c r="H185" s="33"/>
      <c r="I185" s="33"/>
      <c r="J185" s="33"/>
      <c r="K185" s="92"/>
      <c r="L185" s="33"/>
      <c r="M185" s="92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15">
      <c r="A186" s="33"/>
      <c r="B186" s="33"/>
      <c r="C186" s="33"/>
      <c r="D186" s="33"/>
      <c r="E186" s="33"/>
      <c r="F186" s="91"/>
      <c r="G186" s="31"/>
      <c r="H186" s="33"/>
      <c r="I186" s="33"/>
      <c r="J186" s="33"/>
      <c r="K186" s="92"/>
      <c r="L186" s="33"/>
      <c r="M186" s="92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15">
      <c r="A187" s="33"/>
      <c r="B187" s="33"/>
      <c r="C187" s="33"/>
      <c r="D187" s="33"/>
      <c r="E187" s="33"/>
      <c r="F187" s="91"/>
      <c r="G187" s="31"/>
      <c r="H187" s="33"/>
      <c r="I187" s="33"/>
      <c r="J187" s="33"/>
      <c r="K187" s="92"/>
      <c r="L187" s="33"/>
      <c r="M187" s="92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15">
      <c r="A188" s="33"/>
      <c r="B188" s="33"/>
      <c r="C188" s="33"/>
      <c r="D188" s="33"/>
      <c r="E188" s="33"/>
      <c r="F188" s="91"/>
      <c r="G188" s="31"/>
      <c r="H188" s="33"/>
      <c r="I188" s="33"/>
      <c r="J188" s="33"/>
      <c r="K188" s="92"/>
      <c r="L188" s="33"/>
      <c r="M188" s="92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15">
      <c r="A189" s="33"/>
      <c r="B189" s="33"/>
      <c r="C189" s="33"/>
      <c r="D189" s="33"/>
      <c r="E189" s="33"/>
      <c r="F189" s="91"/>
      <c r="G189" s="31"/>
      <c r="H189" s="33"/>
      <c r="I189" s="33"/>
      <c r="J189" s="33"/>
      <c r="K189" s="92"/>
      <c r="L189" s="33"/>
      <c r="M189" s="92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15">
      <c r="A190" s="33"/>
      <c r="B190" s="33"/>
      <c r="C190" s="33"/>
      <c r="D190" s="33"/>
      <c r="E190" s="33"/>
      <c r="F190" s="91"/>
      <c r="G190" s="31"/>
      <c r="H190" s="33"/>
      <c r="I190" s="33"/>
      <c r="J190" s="33"/>
      <c r="K190" s="92"/>
      <c r="L190" s="33"/>
      <c r="M190" s="92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15">
      <c r="A191" s="33"/>
      <c r="B191" s="33"/>
      <c r="C191" s="33"/>
      <c r="D191" s="33"/>
      <c r="E191" s="33"/>
      <c r="F191" s="91"/>
      <c r="G191" s="31"/>
      <c r="H191" s="33"/>
      <c r="I191" s="33"/>
      <c r="J191" s="33"/>
      <c r="K191" s="92"/>
      <c r="L191" s="33"/>
      <c r="M191" s="92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15">
      <c r="A192" s="33"/>
      <c r="B192" s="33"/>
      <c r="C192" s="33"/>
      <c r="D192" s="33"/>
      <c r="E192" s="33"/>
      <c r="F192" s="91"/>
      <c r="G192" s="31"/>
      <c r="H192" s="33"/>
      <c r="I192" s="33"/>
      <c r="J192" s="33"/>
      <c r="K192" s="92"/>
      <c r="L192" s="33"/>
      <c r="M192" s="92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15">
      <c r="A193" s="33"/>
      <c r="B193" s="33"/>
      <c r="C193" s="33"/>
      <c r="D193" s="33"/>
      <c r="E193" s="33"/>
      <c r="F193" s="91"/>
      <c r="G193" s="31"/>
      <c r="H193" s="33"/>
      <c r="I193" s="33"/>
      <c r="J193" s="33"/>
      <c r="K193" s="92"/>
      <c r="L193" s="33"/>
      <c r="M193" s="92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15">
      <c r="A194" s="33"/>
      <c r="B194" s="33"/>
      <c r="C194" s="33"/>
      <c r="D194" s="33"/>
      <c r="E194" s="33"/>
      <c r="F194" s="91"/>
      <c r="G194" s="31"/>
      <c r="H194" s="33"/>
      <c r="I194" s="33"/>
      <c r="J194" s="33"/>
      <c r="K194" s="92"/>
      <c r="L194" s="33"/>
      <c r="M194" s="92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15">
      <c r="A195" s="33"/>
      <c r="B195" s="33"/>
      <c r="C195" s="33"/>
      <c r="D195" s="33"/>
      <c r="E195" s="33"/>
      <c r="F195" s="91"/>
      <c r="G195" s="31"/>
      <c r="H195" s="33"/>
      <c r="I195" s="33"/>
      <c r="J195" s="33"/>
      <c r="K195" s="92"/>
      <c r="L195" s="33"/>
      <c r="M195" s="92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15">
      <c r="A196" s="33"/>
      <c r="B196" s="33"/>
      <c r="C196" s="33"/>
      <c r="D196" s="33"/>
      <c r="E196" s="33"/>
      <c r="F196" s="91"/>
      <c r="G196" s="31"/>
      <c r="H196" s="33"/>
      <c r="I196" s="33"/>
      <c r="J196" s="33"/>
      <c r="K196" s="92"/>
      <c r="L196" s="33"/>
      <c r="M196" s="92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15">
      <c r="A197" s="33"/>
      <c r="B197" s="33"/>
      <c r="C197" s="33"/>
      <c r="D197" s="33"/>
      <c r="E197" s="33"/>
      <c r="F197" s="91"/>
      <c r="G197" s="31"/>
      <c r="H197" s="33"/>
      <c r="I197" s="33"/>
      <c r="J197" s="33"/>
      <c r="K197" s="92"/>
      <c r="L197" s="33"/>
      <c r="M197" s="92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15">
      <c r="A198" s="33"/>
      <c r="B198" s="33"/>
      <c r="C198" s="33"/>
      <c r="D198" s="33"/>
      <c r="E198" s="33"/>
      <c r="F198" s="91"/>
      <c r="G198" s="31"/>
      <c r="H198" s="33"/>
      <c r="I198" s="33"/>
      <c r="J198" s="33"/>
      <c r="K198" s="92"/>
      <c r="L198" s="33"/>
      <c r="M198" s="92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15">
      <c r="A199" s="33"/>
      <c r="B199" s="33"/>
      <c r="C199" s="33"/>
      <c r="D199" s="33"/>
      <c r="E199" s="33"/>
      <c r="F199" s="91"/>
      <c r="G199" s="31"/>
      <c r="H199" s="33"/>
      <c r="I199" s="33"/>
      <c r="J199" s="33"/>
      <c r="K199" s="92"/>
      <c r="L199" s="33"/>
      <c r="M199" s="92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15">
      <c r="A200" s="33"/>
      <c r="B200" s="33"/>
      <c r="C200" s="33"/>
      <c r="D200" s="33"/>
      <c r="E200" s="33"/>
      <c r="F200" s="91"/>
      <c r="G200" s="31"/>
      <c r="H200" s="33"/>
      <c r="I200" s="33"/>
      <c r="J200" s="33"/>
      <c r="K200" s="92"/>
      <c r="L200" s="33"/>
      <c r="M200" s="92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15">
      <c r="A201" s="33"/>
      <c r="B201" s="33"/>
      <c r="C201" s="33"/>
      <c r="D201" s="33"/>
      <c r="E201" s="33"/>
      <c r="F201" s="91"/>
      <c r="G201" s="31"/>
      <c r="H201" s="33"/>
      <c r="I201" s="33"/>
      <c r="J201" s="33"/>
      <c r="K201" s="92"/>
      <c r="L201" s="33"/>
      <c r="M201" s="92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15">
      <c r="A202" s="33"/>
      <c r="B202" s="33"/>
      <c r="C202" s="33"/>
      <c r="D202" s="33"/>
      <c r="E202" s="33"/>
      <c r="F202" s="91"/>
      <c r="G202" s="31"/>
      <c r="H202" s="33"/>
      <c r="I202" s="33"/>
      <c r="J202" s="33"/>
      <c r="K202" s="92"/>
      <c r="L202" s="33"/>
      <c r="M202" s="92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15">
      <c r="A203" s="33"/>
      <c r="B203" s="33"/>
      <c r="C203" s="33"/>
      <c r="D203" s="33"/>
      <c r="E203" s="33"/>
      <c r="F203" s="91"/>
      <c r="G203" s="31"/>
      <c r="H203" s="33"/>
      <c r="I203" s="33"/>
      <c r="J203" s="33"/>
      <c r="K203" s="92"/>
      <c r="L203" s="33"/>
      <c r="M203" s="92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15">
      <c r="A204" s="33"/>
      <c r="B204" s="33"/>
      <c r="C204" s="33"/>
      <c r="D204" s="33"/>
      <c r="E204" s="33"/>
      <c r="F204" s="91"/>
      <c r="G204" s="31"/>
      <c r="H204" s="33"/>
      <c r="I204" s="33"/>
      <c r="J204" s="33"/>
      <c r="K204" s="92"/>
      <c r="L204" s="33"/>
      <c r="M204" s="92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15">
      <c r="A205" s="33"/>
      <c r="B205" s="33"/>
      <c r="C205" s="33"/>
      <c r="D205" s="33"/>
      <c r="E205" s="33"/>
      <c r="F205" s="91"/>
      <c r="G205" s="31"/>
      <c r="H205" s="33"/>
      <c r="I205" s="33"/>
      <c r="J205" s="33"/>
      <c r="K205" s="92"/>
      <c r="L205" s="33"/>
      <c r="M205" s="92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15">
      <c r="A206" s="33"/>
      <c r="B206" s="33"/>
      <c r="C206" s="33"/>
      <c r="D206" s="33"/>
      <c r="E206" s="33"/>
      <c r="F206" s="91"/>
      <c r="G206" s="31"/>
      <c r="H206" s="33"/>
      <c r="I206" s="33"/>
      <c r="J206" s="33"/>
      <c r="K206" s="92"/>
      <c r="L206" s="33"/>
      <c r="M206" s="92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15">
      <c r="A207" s="33"/>
      <c r="B207" s="33"/>
      <c r="C207" s="33"/>
      <c r="D207" s="33"/>
      <c r="E207" s="33"/>
      <c r="F207" s="91"/>
      <c r="G207" s="31"/>
      <c r="H207" s="33"/>
      <c r="I207" s="33"/>
      <c r="J207" s="33"/>
      <c r="K207" s="92"/>
      <c r="L207" s="33"/>
      <c r="M207" s="92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15">
      <c r="A208" s="33"/>
      <c r="B208" s="33"/>
      <c r="C208" s="33"/>
      <c r="D208" s="33"/>
      <c r="E208" s="33"/>
      <c r="F208" s="91"/>
      <c r="G208" s="31"/>
      <c r="H208" s="33"/>
      <c r="I208" s="33"/>
      <c r="J208" s="33"/>
      <c r="K208" s="92"/>
      <c r="L208" s="33"/>
      <c r="M208" s="92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15">
      <c r="A209" s="33"/>
      <c r="B209" s="33"/>
      <c r="C209" s="33"/>
      <c r="D209" s="33"/>
      <c r="E209" s="33"/>
      <c r="F209" s="91"/>
      <c r="G209" s="31"/>
      <c r="H209" s="33"/>
      <c r="I209" s="33"/>
      <c r="J209" s="33"/>
      <c r="K209" s="92"/>
      <c r="L209" s="33"/>
      <c r="M209" s="92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15">
      <c r="A210" s="33"/>
      <c r="B210" s="33"/>
      <c r="C210" s="33"/>
      <c r="D210" s="33"/>
      <c r="E210" s="33"/>
      <c r="F210" s="91"/>
      <c r="G210" s="31"/>
      <c r="H210" s="33"/>
      <c r="I210" s="33"/>
      <c r="J210" s="33"/>
      <c r="K210" s="92"/>
      <c r="L210" s="33"/>
      <c r="M210" s="92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15">
      <c r="A211" s="33"/>
      <c r="B211" s="33"/>
      <c r="C211" s="33"/>
      <c r="D211" s="33"/>
      <c r="E211" s="33"/>
      <c r="F211" s="91"/>
      <c r="G211" s="31"/>
      <c r="H211" s="33"/>
      <c r="I211" s="33"/>
      <c r="J211" s="33"/>
      <c r="K211" s="92"/>
      <c r="L211" s="33"/>
      <c r="M211" s="92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15">
      <c r="A212" s="33"/>
      <c r="B212" s="33"/>
      <c r="C212" s="33"/>
      <c r="D212" s="33"/>
      <c r="E212" s="33"/>
      <c r="F212" s="91"/>
      <c r="G212" s="31"/>
      <c r="H212" s="33"/>
      <c r="I212" s="33"/>
      <c r="J212" s="33"/>
      <c r="K212" s="92"/>
      <c r="L212" s="33"/>
      <c r="M212" s="92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15">
      <c r="A213" s="33"/>
      <c r="B213" s="33"/>
      <c r="C213" s="33"/>
      <c r="D213" s="33"/>
      <c r="E213" s="33"/>
      <c r="F213" s="91"/>
      <c r="G213" s="31"/>
      <c r="H213" s="33"/>
      <c r="I213" s="33"/>
      <c r="J213" s="33"/>
      <c r="K213" s="92"/>
      <c r="L213" s="33"/>
      <c r="M213" s="92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15">
      <c r="A214" s="33"/>
      <c r="B214" s="33"/>
      <c r="C214" s="33"/>
      <c r="D214" s="33"/>
      <c r="E214" s="33"/>
      <c r="F214" s="91"/>
      <c r="G214" s="31"/>
      <c r="H214" s="33"/>
      <c r="I214" s="33"/>
      <c r="J214" s="33"/>
      <c r="K214" s="92"/>
      <c r="L214" s="33"/>
      <c r="M214" s="92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15">
      <c r="A215" s="33"/>
      <c r="B215" s="33"/>
      <c r="C215" s="33"/>
      <c r="D215" s="33"/>
      <c r="E215" s="33"/>
      <c r="F215" s="91"/>
      <c r="G215" s="31"/>
      <c r="H215" s="33"/>
      <c r="I215" s="33"/>
      <c r="J215" s="33"/>
      <c r="K215" s="92"/>
      <c r="L215" s="33"/>
      <c r="M215" s="92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15">
      <c r="A216" s="33"/>
      <c r="B216" s="33"/>
      <c r="C216" s="33"/>
      <c r="D216" s="33"/>
      <c r="E216" s="33"/>
      <c r="F216" s="91"/>
      <c r="G216" s="31"/>
      <c r="H216" s="33"/>
      <c r="I216" s="33"/>
      <c r="J216" s="33"/>
      <c r="K216" s="92"/>
      <c r="L216" s="33"/>
      <c r="M216" s="92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15">
      <c r="A217" s="33"/>
      <c r="B217" s="33"/>
      <c r="C217" s="33"/>
      <c r="D217" s="33"/>
      <c r="E217" s="33"/>
      <c r="F217" s="91"/>
      <c r="G217" s="31"/>
      <c r="H217" s="33"/>
      <c r="I217" s="33"/>
      <c r="J217" s="33"/>
      <c r="K217" s="92"/>
      <c r="L217" s="33"/>
      <c r="M217" s="92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15">
      <c r="A218" s="33"/>
      <c r="B218" s="33"/>
      <c r="C218" s="33"/>
      <c r="D218" s="33"/>
      <c r="E218" s="33"/>
      <c r="F218" s="91"/>
      <c r="G218" s="31"/>
      <c r="H218" s="33"/>
      <c r="I218" s="33"/>
      <c r="J218" s="33"/>
      <c r="K218" s="92"/>
      <c r="L218" s="33"/>
      <c r="M218" s="92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15">
      <c r="A219" s="33"/>
      <c r="B219" s="33"/>
      <c r="C219" s="33"/>
      <c r="D219" s="33"/>
      <c r="E219" s="33"/>
      <c r="F219" s="91"/>
      <c r="G219" s="31"/>
      <c r="H219" s="33"/>
      <c r="I219" s="33"/>
      <c r="J219" s="33"/>
      <c r="K219" s="92"/>
      <c r="L219" s="33"/>
      <c r="M219" s="92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15">
      <c r="A220" s="33"/>
      <c r="B220" s="33"/>
      <c r="C220" s="33"/>
      <c r="D220" s="33"/>
      <c r="E220" s="33"/>
      <c r="F220" s="91"/>
      <c r="G220" s="31"/>
      <c r="H220" s="33"/>
      <c r="I220" s="33"/>
      <c r="J220" s="33"/>
      <c r="K220" s="92"/>
      <c r="L220" s="33"/>
      <c r="M220" s="92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15">
      <c r="A221" s="33"/>
      <c r="B221" s="33"/>
      <c r="C221" s="33"/>
      <c r="D221" s="33"/>
      <c r="E221" s="33"/>
      <c r="F221" s="91"/>
      <c r="G221" s="31"/>
      <c r="H221" s="33"/>
      <c r="I221" s="33"/>
      <c r="J221" s="33"/>
      <c r="K221" s="92"/>
      <c r="L221" s="33"/>
      <c r="M221" s="92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15">
      <c r="A222" s="33"/>
      <c r="B222" s="33"/>
      <c r="C222" s="33"/>
      <c r="D222" s="33"/>
      <c r="E222" s="33"/>
      <c r="F222" s="91"/>
      <c r="G222" s="31"/>
      <c r="H222" s="33"/>
      <c r="I222" s="33"/>
      <c r="J222" s="33"/>
      <c r="K222" s="92"/>
      <c r="L222" s="33"/>
      <c r="M222" s="92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15">
      <c r="A223" s="33"/>
      <c r="B223" s="33"/>
      <c r="C223" s="33"/>
      <c r="D223" s="33"/>
      <c r="E223" s="33"/>
      <c r="F223" s="91"/>
      <c r="G223" s="31"/>
      <c r="H223" s="33"/>
      <c r="I223" s="33"/>
      <c r="J223" s="33"/>
      <c r="K223" s="92"/>
      <c r="L223" s="33"/>
      <c r="M223" s="92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15">
      <c r="A224" s="33"/>
      <c r="B224" s="33"/>
      <c r="C224" s="33"/>
      <c r="D224" s="33"/>
      <c r="E224" s="33"/>
      <c r="F224" s="91"/>
      <c r="G224" s="31"/>
      <c r="H224" s="33"/>
      <c r="I224" s="33"/>
      <c r="J224" s="33"/>
      <c r="K224" s="92"/>
      <c r="L224" s="33"/>
      <c r="M224" s="92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 x14ac:dyDescent="0.15">
      <c r="A225" s="33"/>
      <c r="B225" s="33"/>
      <c r="C225" s="33"/>
      <c r="D225" s="33"/>
      <c r="E225" s="33"/>
      <c r="F225" s="91"/>
      <c r="G225" s="31"/>
      <c r="H225" s="33"/>
      <c r="I225" s="33"/>
      <c r="J225" s="33"/>
      <c r="K225" s="92"/>
      <c r="L225" s="33"/>
      <c r="M225" s="92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15">
      <c r="A226" s="33"/>
      <c r="B226" s="33"/>
      <c r="C226" s="33"/>
      <c r="D226" s="33"/>
      <c r="E226" s="33"/>
      <c r="F226" s="91"/>
      <c r="G226" s="31"/>
      <c r="H226" s="33"/>
      <c r="I226" s="33"/>
      <c r="J226" s="33"/>
      <c r="K226" s="92"/>
      <c r="L226" s="33"/>
      <c r="M226" s="92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 x14ac:dyDescent="0.15">
      <c r="A227" s="33"/>
      <c r="B227" s="33"/>
      <c r="C227" s="33"/>
      <c r="D227" s="33"/>
      <c r="E227" s="33"/>
      <c r="F227" s="91"/>
      <c r="G227" s="31"/>
      <c r="H227" s="33"/>
      <c r="I227" s="33"/>
      <c r="J227" s="33"/>
      <c r="K227" s="92"/>
      <c r="L227" s="33"/>
      <c r="M227" s="92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 x14ac:dyDescent="0.15">
      <c r="A228" s="33"/>
      <c r="B228" s="33"/>
      <c r="C228" s="33"/>
      <c r="D228" s="33"/>
      <c r="E228" s="33"/>
      <c r="F228" s="91"/>
      <c r="G228" s="31"/>
      <c r="H228" s="33"/>
      <c r="I228" s="33"/>
      <c r="J228" s="33"/>
      <c r="K228" s="92"/>
      <c r="L228" s="33"/>
      <c r="M228" s="92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 x14ac:dyDescent="0.15">
      <c r="A229" s="33"/>
      <c r="B229" s="33"/>
      <c r="C229" s="33"/>
      <c r="D229" s="33"/>
      <c r="E229" s="33"/>
      <c r="F229" s="91"/>
      <c r="G229" s="31"/>
      <c r="H229" s="33"/>
      <c r="I229" s="33"/>
      <c r="J229" s="33"/>
      <c r="K229" s="92"/>
      <c r="L229" s="33"/>
      <c r="M229" s="92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 x14ac:dyDescent="0.15">
      <c r="A230" s="33"/>
      <c r="B230" s="33"/>
      <c r="C230" s="33"/>
      <c r="D230" s="33"/>
      <c r="E230" s="33"/>
      <c r="F230" s="91"/>
      <c r="G230" s="31"/>
      <c r="H230" s="33"/>
      <c r="I230" s="33"/>
      <c r="J230" s="33"/>
      <c r="K230" s="92"/>
      <c r="L230" s="33"/>
      <c r="M230" s="92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 x14ac:dyDescent="0.15">
      <c r="A231" s="33"/>
      <c r="B231" s="33"/>
      <c r="C231" s="33"/>
      <c r="D231" s="33"/>
      <c r="E231" s="33"/>
      <c r="F231" s="91"/>
      <c r="G231" s="31"/>
      <c r="H231" s="33"/>
      <c r="I231" s="33"/>
      <c r="J231" s="33"/>
      <c r="K231" s="92"/>
      <c r="L231" s="33"/>
      <c r="M231" s="92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 x14ac:dyDescent="0.15">
      <c r="A232" s="33"/>
      <c r="B232" s="33"/>
      <c r="C232" s="33"/>
      <c r="D232" s="33"/>
      <c r="E232" s="33"/>
      <c r="F232" s="91"/>
      <c r="G232" s="31"/>
      <c r="H232" s="33"/>
      <c r="I232" s="33"/>
      <c r="J232" s="33"/>
      <c r="K232" s="92"/>
      <c r="L232" s="33"/>
      <c r="M232" s="92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 x14ac:dyDescent="0.15">
      <c r="A233" s="33"/>
      <c r="B233" s="33"/>
      <c r="C233" s="33"/>
      <c r="D233" s="33"/>
      <c r="E233" s="33"/>
      <c r="F233" s="91"/>
      <c r="G233" s="31"/>
      <c r="H233" s="33"/>
      <c r="I233" s="33"/>
      <c r="J233" s="33"/>
      <c r="K233" s="92"/>
      <c r="L233" s="33"/>
      <c r="M233" s="92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 x14ac:dyDescent="0.15">
      <c r="A234" s="33"/>
      <c r="B234" s="33"/>
      <c r="C234" s="33"/>
      <c r="D234" s="33"/>
      <c r="E234" s="33"/>
      <c r="F234" s="91"/>
      <c r="G234" s="31"/>
      <c r="H234" s="33"/>
      <c r="I234" s="33"/>
      <c r="J234" s="33"/>
      <c r="K234" s="92"/>
      <c r="L234" s="33"/>
      <c r="M234" s="92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 x14ac:dyDescent="0.15">
      <c r="A235" s="33"/>
      <c r="B235" s="33"/>
      <c r="C235" s="33"/>
      <c r="D235" s="33"/>
      <c r="E235" s="33"/>
      <c r="F235" s="91"/>
      <c r="G235" s="31"/>
      <c r="H235" s="33"/>
      <c r="I235" s="33"/>
      <c r="J235" s="33"/>
      <c r="K235" s="92"/>
      <c r="L235" s="33"/>
      <c r="M235" s="92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 x14ac:dyDescent="0.15">
      <c r="A236" s="33"/>
      <c r="B236" s="33"/>
      <c r="C236" s="33"/>
      <c r="D236" s="33"/>
      <c r="E236" s="33"/>
      <c r="F236" s="91"/>
      <c r="G236" s="31"/>
      <c r="H236" s="33"/>
      <c r="I236" s="33"/>
      <c r="J236" s="33"/>
      <c r="K236" s="92"/>
      <c r="L236" s="33"/>
      <c r="M236" s="92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 x14ac:dyDescent="0.15">
      <c r="A237" s="33"/>
      <c r="B237" s="33"/>
      <c r="C237" s="33"/>
      <c r="D237" s="33"/>
      <c r="E237" s="33"/>
      <c r="F237" s="91"/>
      <c r="G237" s="31"/>
      <c r="H237" s="33"/>
      <c r="I237" s="33"/>
      <c r="J237" s="33"/>
      <c r="K237" s="92"/>
      <c r="L237" s="33"/>
      <c r="M237" s="92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 x14ac:dyDescent="0.15">
      <c r="A238" s="33"/>
      <c r="B238" s="33"/>
      <c r="C238" s="33"/>
      <c r="D238" s="33"/>
      <c r="E238" s="33"/>
      <c r="F238" s="91"/>
      <c r="G238" s="31"/>
      <c r="H238" s="33"/>
      <c r="I238" s="33"/>
      <c r="J238" s="33"/>
      <c r="K238" s="92"/>
      <c r="L238" s="33"/>
      <c r="M238" s="92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 x14ac:dyDescent="0.15">
      <c r="A239" s="33"/>
      <c r="B239" s="33"/>
      <c r="C239" s="33"/>
      <c r="D239" s="33"/>
      <c r="E239" s="33"/>
      <c r="F239" s="91"/>
      <c r="G239" s="31"/>
      <c r="H239" s="33"/>
      <c r="I239" s="33"/>
      <c r="J239" s="33"/>
      <c r="K239" s="92"/>
      <c r="L239" s="33"/>
      <c r="M239" s="92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 x14ac:dyDescent="0.15">
      <c r="A240" s="33"/>
      <c r="B240" s="33"/>
      <c r="C240" s="33"/>
      <c r="D240" s="33"/>
      <c r="E240" s="33"/>
      <c r="F240" s="91"/>
      <c r="G240" s="31"/>
      <c r="H240" s="33"/>
      <c r="I240" s="33"/>
      <c r="J240" s="33"/>
      <c r="K240" s="92"/>
      <c r="L240" s="33"/>
      <c r="M240" s="92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 x14ac:dyDescent="0.15">
      <c r="A241" s="33"/>
      <c r="B241" s="33"/>
      <c r="C241" s="33"/>
      <c r="D241" s="33"/>
      <c r="E241" s="33"/>
      <c r="F241" s="91"/>
      <c r="G241" s="31"/>
      <c r="H241" s="33"/>
      <c r="I241" s="33"/>
      <c r="J241" s="33"/>
      <c r="K241" s="92"/>
      <c r="L241" s="33"/>
      <c r="M241" s="92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P1"/>
    <mergeCell ref="A2:P2"/>
    <mergeCell ref="A3:P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8" width="12.87109375" customWidth="1"/>
    <col min="19" max="28" width="16.42578125" customWidth="1"/>
  </cols>
  <sheetData>
    <row r="1" spans="1:28" ht="22.5" customHeight="1" x14ac:dyDescent="0.15">
      <c r="A1" s="157" t="s">
        <v>503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8"/>
    </row>
    <row r="2" spans="1:28" ht="16.5" customHeight="1" x14ac:dyDescent="0.15">
      <c r="A2" s="150" t="s">
        <v>504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8"/>
    </row>
    <row r="3" spans="1:28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8"/>
    </row>
    <row r="4" spans="1:28" ht="22.5" customHeight="1" x14ac:dyDescent="0.15">
      <c r="A4" s="85" t="s">
        <v>327</v>
      </c>
      <c r="B4" s="85" t="s">
        <v>328</v>
      </c>
      <c r="C4" s="85" t="s">
        <v>51</v>
      </c>
      <c r="D4" s="85" t="s">
        <v>52</v>
      </c>
      <c r="E4" s="85" t="s">
        <v>329</v>
      </c>
      <c r="F4" s="93" t="s">
        <v>330</v>
      </c>
      <c r="G4" s="93" t="s">
        <v>330</v>
      </c>
      <c r="H4" s="94" t="s">
        <v>331</v>
      </c>
      <c r="I4" s="85" t="s">
        <v>332</v>
      </c>
      <c r="J4" s="85" t="s">
        <v>333</v>
      </c>
      <c r="K4" s="85" t="s">
        <v>505</v>
      </c>
      <c r="L4" s="85" t="s">
        <v>147</v>
      </c>
      <c r="M4" s="85" t="s">
        <v>334</v>
      </c>
      <c r="N4" s="85" t="s">
        <v>335</v>
      </c>
      <c r="O4" s="95" t="s">
        <v>336</v>
      </c>
      <c r="P4" s="85" t="s">
        <v>337</v>
      </c>
      <c r="Q4" s="85" t="s">
        <v>152</v>
      </c>
      <c r="R4" s="85" t="s">
        <v>153</v>
      </c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15" customHeight="1" x14ac:dyDescent="0.15">
      <c r="A5" s="96" t="s">
        <v>338</v>
      </c>
      <c r="B5" s="86" t="s">
        <v>339</v>
      </c>
      <c r="C5" s="86" t="s">
        <v>157</v>
      </c>
      <c r="D5" s="86" t="s">
        <v>340</v>
      </c>
      <c r="E5" s="86" t="s">
        <v>449</v>
      </c>
      <c r="F5" s="97" t="s">
        <v>506</v>
      </c>
      <c r="G5" s="98" t="e">
        <f t="shared" ref="G5:G40" ca="1" si="0">VALUE(_xludf.REDUCE(F5,{"০","১","২","৩","৪","৫","৬","৭","৮","৯"},_xludf.LAMBDA(_xludf.text,b_num,SUBSTITUTE(_xludf.text,b_num,MATCH(b_num,{"০","১","২","৩","৪","৫","৬","৭","৮","৯"},0)-1))))</f>
        <v>#NAME?</v>
      </c>
      <c r="H5" s="99">
        <v>46152</v>
      </c>
      <c r="I5" s="100">
        <v>25.755590999999999</v>
      </c>
      <c r="J5" s="100">
        <v>89.657639000000003</v>
      </c>
      <c r="K5" s="86"/>
      <c r="L5" s="86" t="s">
        <v>342</v>
      </c>
      <c r="M5" s="101" t="s">
        <v>343</v>
      </c>
      <c r="N5" s="86" t="s">
        <v>344</v>
      </c>
      <c r="O5" s="101" t="s">
        <v>345</v>
      </c>
      <c r="P5" s="86"/>
      <c r="Q5" s="86"/>
      <c r="R5" s="86" t="s">
        <v>507</v>
      </c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15" customHeight="1" x14ac:dyDescent="0.15">
      <c r="A6" s="102" t="s">
        <v>346</v>
      </c>
      <c r="B6" s="88" t="s">
        <v>339</v>
      </c>
      <c r="C6" s="88" t="s">
        <v>157</v>
      </c>
      <c r="D6" s="88" t="s">
        <v>340</v>
      </c>
      <c r="E6" s="88" t="s">
        <v>436</v>
      </c>
      <c r="F6" s="103" t="s">
        <v>508</v>
      </c>
      <c r="G6" s="104" t="e">
        <f t="shared" ca="1" si="0"/>
        <v>#NAME?</v>
      </c>
      <c r="H6" s="105">
        <v>46177</v>
      </c>
      <c r="I6" s="106">
        <v>25.826720999999999</v>
      </c>
      <c r="J6" s="106">
        <v>89.603291999999996</v>
      </c>
      <c r="K6" s="88"/>
      <c r="L6" s="88" t="s">
        <v>348</v>
      </c>
      <c r="M6" s="107" t="s">
        <v>349</v>
      </c>
      <c r="N6" s="88" t="s">
        <v>350</v>
      </c>
      <c r="O6" s="107" t="s">
        <v>351</v>
      </c>
      <c r="P6" s="88"/>
      <c r="Q6" s="88"/>
      <c r="R6" s="88" t="s">
        <v>507</v>
      </c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5" customHeight="1" x14ac:dyDescent="0.15">
      <c r="A7" s="96" t="s">
        <v>352</v>
      </c>
      <c r="B7" s="86" t="s">
        <v>339</v>
      </c>
      <c r="C7" s="86" t="s">
        <v>157</v>
      </c>
      <c r="D7" s="86" t="s">
        <v>340</v>
      </c>
      <c r="E7" s="86" t="s">
        <v>509</v>
      </c>
      <c r="F7" s="97" t="s">
        <v>510</v>
      </c>
      <c r="G7" s="98" t="e">
        <f t="shared" ca="1" si="0"/>
        <v>#NAME?</v>
      </c>
      <c r="H7" s="99">
        <v>46175</v>
      </c>
      <c r="I7" s="100">
        <v>25.830043</v>
      </c>
      <c r="J7" s="100">
        <v>89.624499999999998</v>
      </c>
      <c r="K7" s="86"/>
      <c r="L7" s="86" t="s">
        <v>354</v>
      </c>
      <c r="M7" s="101" t="s">
        <v>355</v>
      </c>
      <c r="N7" s="86" t="s">
        <v>511</v>
      </c>
      <c r="O7" s="101" t="s">
        <v>357</v>
      </c>
      <c r="P7" s="86"/>
      <c r="Q7" s="86"/>
      <c r="R7" s="86" t="s">
        <v>507</v>
      </c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15" customHeight="1" x14ac:dyDescent="0.15">
      <c r="A8" s="102" t="s">
        <v>358</v>
      </c>
      <c r="B8" s="88" t="s">
        <v>339</v>
      </c>
      <c r="C8" s="88" t="s">
        <v>157</v>
      </c>
      <c r="D8" s="88" t="s">
        <v>340</v>
      </c>
      <c r="E8" s="88" t="s">
        <v>359</v>
      </c>
      <c r="F8" s="103" t="s">
        <v>489</v>
      </c>
      <c r="G8" s="104" t="e">
        <f t="shared" ca="1" si="0"/>
        <v>#NAME?</v>
      </c>
      <c r="H8" s="105">
        <v>46175</v>
      </c>
      <c r="I8" s="106">
        <v>25.4939</v>
      </c>
      <c r="J8" s="106">
        <v>89.370170000000002</v>
      </c>
      <c r="K8" s="88"/>
      <c r="L8" s="88" t="s">
        <v>360</v>
      </c>
      <c r="M8" s="107" t="s">
        <v>361</v>
      </c>
      <c r="N8" s="88" t="s">
        <v>362</v>
      </c>
      <c r="O8" s="107" t="s">
        <v>363</v>
      </c>
      <c r="P8" s="88"/>
      <c r="Q8" s="88"/>
      <c r="R8" s="88" t="s">
        <v>507</v>
      </c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5" customHeight="1" x14ac:dyDescent="0.15">
      <c r="A9" s="96" t="s">
        <v>364</v>
      </c>
      <c r="B9" s="86" t="s">
        <v>339</v>
      </c>
      <c r="C9" s="86" t="s">
        <v>157</v>
      </c>
      <c r="D9" s="86" t="s">
        <v>365</v>
      </c>
      <c r="E9" s="86" t="s">
        <v>366</v>
      </c>
      <c r="F9" s="97" t="s">
        <v>489</v>
      </c>
      <c r="G9" s="98" t="e">
        <f t="shared" ca="1" si="0"/>
        <v>#NAME?</v>
      </c>
      <c r="H9" s="99">
        <v>46175</v>
      </c>
      <c r="I9" s="100">
        <v>26.125547000000001</v>
      </c>
      <c r="J9" s="100">
        <v>89.729580999999996</v>
      </c>
      <c r="K9" s="86"/>
      <c r="L9" s="86" t="s">
        <v>367</v>
      </c>
      <c r="M9" s="101" t="s">
        <v>368</v>
      </c>
      <c r="N9" s="86" t="s">
        <v>369</v>
      </c>
      <c r="O9" s="101" t="s">
        <v>370</v>
      </c>
      <c r="P9" s="86"/>
      <c r="Q9" s="86"/>
      <c r="R9" s="86" t="s">
        <v>507</v>
      </c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15" customHeight="1" x14ac:dyDescent="0.15">
      <c r="A10" s="102" t="s">
        <v>371</v>
      </c>
      <c r="B10" s="88" t="s">
        <v>339</v>
      </c>
      <c r="C10" s="88" t="s">
        <v>157</v>
      </c>
      <c r="D10" s="88" t="s">
        <v>365</v>
      </c>
      <c r="E10" s="88" t="s">
        <v>372</v>
      </c>
      <c r="F10" s="103" t="s">
        <v>506</v>
      </c>
      <c r="G10" s="104" t="e">
        <f t="shared" ca="1" si="0"/>
        <v>#NAME?</v>
      </c>
      <c r="H10" s="105">
        <v>46168</v>
      </c>
      <c r="I10" s="106">
        <v>26.093050000000002</v>
      </c>
      <c r="J10" s="106">
        <v>89.698449999999994</v>
      </c>
      <c r="K10" s="88"/>
      <c r="L10" s="88" t="s">
        <v>373</v>
      </c>
      <c r="M10" s="107" t="s">
        <v>374</v>
      </c>
      <c r="N10" s="88" t="s">
        <v>375</v>
      </c>
      <c r="O10" s="107" t="s">
        <v>376</v>
      </c>
      <c r="P10" s="88"/>
      <c r="Q10" s="88"/>
      <c r="R10" s="88" t="s">
        <v>507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5" customHeight="1" x14ac:dyDescent="0.15">
      <c r="A11" s="96" t="s">
        <v>377</v>
      </c>
      <c r="B11" s="86" t="s">
        <v>339</v>
      </c>
      <c r="C11" s="86" t="s">
        <v>157</v>
      </c>
      <c r="D11" s="86" t="s">
        <v>365</v>
      </c>
      <c r="E11" s="86" t="s">
        <v>378</v>
      </c>
      <c r="F11" s="97" t="s">
        <v>508</v>
      </c>
      <c r="G11" s="98" t="e">
        <f t="shared" ca="1" si="0"/>
        <v>#NAME?</v>
      </c>
      <c r="H11" s="99">
        <v>46174</v>
      </c>
      <c r="I11" s="100">
        <v>26.125547000000001</v>
      </c>
      <c r="J11" s="100">
        <v>89.621770999999995</v>
      </c>
      <c r="K11" s="86"/>
      <c r="L11" s="86" t="s">
        <v>379</v>
      </c>
      <c r="M11" s="101" t="s">
        <v>380</v>
      </c>
      <c r="N11" s="86" t="s">
        <v>381</v>
      </c>
      <c r="O11" s="101" t="s">
        <v>382</v>
      </c>
      <c r="P11" s="86"/>
      <c r="Q11" s="86"/>
      <c r="R11" s="86" t="s">
        <v>507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5" customHeight="1" x14ac:dyDescent="0.15">
      <c r="A12" s="102" t="s">
        <v>383</v>
      </c>
      <c r="B12" s="88" t="s">
        <v>339</v>
      </c>
      <c r="C12" s="88" t="s">
        <v>157</v>
      </c>
      <c r="D12" s="88" t="s">
        <v>365</v>
      </c>
      <c r="E12" s="88" t="s">
        <v>512</v>
      </c>
      <c r="F12" s="103" t="s">
        <v>510</v>
      </c>
      <c r="G12" s="104" t="e">
        <f t="shared" ca="1" si="0"/>
        <v>#NAME?</v>
      </c>
      <c r="H12" s="105">
        <v>46176</v>
      </c>
      <c r="I12" s="106">
        <v>26.068898999999998</v>
      </c>
      <c r="J12" s="106">
        <v>89.673811999999998</v>
      </c>
      <c r="K12" s="88"/>
      <c r="L12" s="88" t="s">
        <v>319</v>
      </c>
      <c r="M12" s="107" t="s">
        <v>384</v>
      </c>
      <c r="N12" s="88" t="s">
        <v>385</v>
      </c>
      <c r="O12" s="107" t="s">
        <v>386</v>
      </c>
      <c r="P12" s="88"/>
      <c r="Q12" s="88"/>
      <c r="R12" s="88" t="s">
        <v>507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5" customHeight="1" x14ac:dyDescent="0.15">
      <c r="A13" s="96" t="s">
        <v>387</v>
      </c>
      <c r="B13" s="86" t="s">
        <v>339</v>
      </c>
      <c r="C13" s="86" t="s">
        <v>157</v>
      </c>
      <c r="D13" s="86" t="s">
        <v>113</v>
      </c>
      <c r="E13" s="86" t="s">
        <v>427</v>
      </c>
      <c r="F13" s="97" t="s">
        <v>489</v>
      </c>
      <c r="G13" s="98" t="e">
        <f t="shared" ca="1" si="0"/>
        <v>#NAME?</v>
      </c>
      <c r="H13" s="99">
        <v>46146</v>
      </c>
      <c r="I13" s="100">
        <v>25.482714999999999</v>
      </c>
      <c r="J13" s="100">
        <v>89.768446999999995</v>
      </c>
      <c r="K13" s="86"/>
      <c r="L13" s="86" t="s">
        <v>389</v>
      </c>
      <c r="M13" s="101" t="s">
        <v>390</v>
      </c>
      <c r="N13" s="86" t="s">
        <v>391</v>
      </c>
      <c r="O13" s="101" t="s">
        <v>392</v>
      </c>
      <c r="P13" s="86"/>
      <c r="Q13" s="86"/>
      <c r="R13" s="86" t="s">
        <v>507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5" customHeight="1" x14ac:dyDescent="0.15">
      <c r="A14" s="102" t="s">
        <v>393</v>
      </c>
      <c r="B14" s="88" t="s">
        <v>339</v>
      </c>
      <c r="C14" s="88" t="s">
        <v>157</v>
      </c>
      <c r="D14" s="88" t="s">
        <v>113</v>
      </c>
      <c r="E14" s="88" t="s">
        <v>513</v>
      </c>
      <c r="F14" s="103" t="s">
        <v>506</v>
      </c>
      <c r="G14" s="104" t="e">
        <f t="shared" ca="1" si="0"/>
        <v>#NAME?</v>
      </c>
      <c r="H14" s="105">
        <v>46147</v>
      </c>
      <c r="I14" s="106">
        <v>25.459002999999999</v>
      </c>
      <c r="J14" s="106">
        <v>89.828174000000004</v>
      </c>
      <c r="K14" s="88"/>
      <c r="L14" s="88" t="s">
        <v>395</v>
      </c>
      <c r="M14" s="107" t="s">
        <v>396</v>
      </c>
      <c r="N14" s="88" t="s">
        <v>391</v>
      </c>
      <c r="O14" s="107" t="s">
        <v>392</v>
      </c>
      <c r="P14" s="88"/>
      <c r="Q14" s="88"/>
      <c r="R14" s="88" t="s">
        <v>507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5" customHeight="1" x14ac:dyDescent="0.15">
      <c r="A15" s="96" t="s">
        <v>397</v>
      </c>
      <c r="B15" s="86" t="s">
        <v>339</v>
      </c>
      <c r="C15" s="86" t="s">
        <v>157</v>
      </c>
      <c r="D15" s="86" t="s">
        <v>113</v>
      </c>
      <c r="E15" s="86" t="s">
        <v>398</v>
      </c>
      <c r="F15" s="97" t="s">
        <v>508</v>
      </c>
      <c r="G15" s="98" t="e">
        <f t="shared" ca="1" si="0"/>
        <v>#NAME?</v>
      </c>
      <c r="H15" s="99">
        <v>46148</v>
      </c>
      <c r="I15" s="100">
        <v>25.427143999999998</v>
      </c>
      <c r="J15" s="100">
        <v>89.771585999999999</v>
      </c>
      <c r="K15" s="86"/>
      <c r="L15" s="86" t="s">
        <v>399</v>
      </c>
      <c r="M15" s="101" t="s">
        <v>400</v>
      </c>
      <c r="N15" s="86" t="s">
        <v>391</v>
      </c>
      <c r="O15" s="101" t="s">
        <v>392</v>
      </c>
      <c r="P15" s="86"/>
      <c r="Q15" s="86"/>
      <c r="R15" s="86" t="s">
        <v>507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5" customHeight="1" x14ac:dyDescent="0.15">
      <c r="A16" s="102" t="s">
        <v>401</v>
      </c>
      <c r="B16" s="88" t="s">
        <v>339</v>
      </c>
      <c r="C16" s="88" t="s">
        <v>157</v>
      </c>
      <c r="D16" s="88" t="s">
        <v>113</v>
      </c>
      <c r="E16" s="88" t="s">
        <v>402</v>
      </c>
      <c r="F16" s="103" t="s">
        <v>514</v>
      </c>
      <c r="G16" s="104" t="e">
        <f t="shared" ca="1" si="0"/>
        <v>#NAME?</v>
      </c>
      <c r="H16" s="105">
        <v>46149</v>
      </c>
      <c r="I16" s="106">
        <v>25.436446</v>
      </c>
      <c r="J16" s="106">
        <v>89.777963</v>
      </c>
      <c r="K16" s="88"/>
      <c r="L16" s="88" t="s">
        <v>403</v>
      </c>
      <c r="M16" s="107" t="s">
        <v>404</v>
      </c>
      <c r="N16" s="88" t="s">
        <v>391</v>
      </c>
      <c r="O16" s="107" t="s">
        <v>392</v>
      </c>
      <c r="P16" s="88"/>
      <c r="Q16" s="88"/>
      <c r="R16" s="88" t="s">
        <v>507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15" customHeight="1" x14ac:dyDescent="0.15">
      <c r="A17" s="96" t="s">
        <v>405</v>
      </c>
      <c r="B17" s="86" t="s">
        <v>339</v>
      </c>
      <c r="C17" s="86" t="s">
        <v>157</v>
      </c>
      <c r="D17" s="86" t="s">
        <v>102</v>
      </c>
      <c r="E17" s="86" t="s">
        <v>406</v>
      </c>
      <c r="F17" s="97" t="s">
        <v>506</v>
      </c>
      <c r="G17" s="98" t="e">
        <f t="shared" ca="1" si="0"/>
        <v>#NAME?</v>
      </c>
      <c r="H17" s="99">
        <v>46153</v>
      </c>
      <c r="I17" s="100">
        <v>25.719194999999999</v>
      </c>
      <c r="J17" s="100">
        <v>89.552200999999997</v>
      </c>
      <c r="K17" s="86"/>
      <c r="L17" s="86" t="s">
        <v>407</v>
      </c>
      <c r="M17" s="101" t="s">
        <v>408</v>
      </c>
      <c r="N17" s="86" t="s">
        <v>395</v>
      </c>
      <c r="O17" s="101" t="s">
        <v>409</v>
      </c>
      <c r="P17" s="86"/>
      <c r="Q17" s="86"/>
      <c r="R17" s="86" t="s">
        <v>507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15" customHeight="1" x14ac:dyDescent="0.15">
      <c r="A18" s="102" t="s">
        <v>410</v>
      </c>
      <c r="B18" s="88" t="s">
        <v>339</v>
      </c>
      <c r="C18" s="88" t="s">
        <v>157</v>
      </c>
      <c r="D18" s="88" t="s">
        <v>102</v>
      </c>
      <c r="E18" s="88" t="s">
        <v>411</v>
      </c>
      <c r="F18" s="103" t="s">
        <v>508</v>
      </c>
      <c r="G18" s="104" t="e">
        <f t="shared" ca="1" si="0"/>
        <v>#NAME?</v>
      </c>
      <c r="H18" s="105">
        <v>46158</v>
      </c>
      <c r="I18" s="106">
        <v>25.656067</v>
      </c>
      <c r="J18" s="106">
        <v>89.648548000000005</v>
      </c>
      <c r="K18" s="88"/>
      <c r="L18" s="88" t="s">
        <v>412</v>
      </c>
      <c r="M18" s="107" t="s">
        <v>413</v>
      </c>
      <c r="N18" s="88" t="s">
        <v>414</v>
      </c>
      <c r="O18" s="107" t="s">
        <v>415</v>
      </c>
      <c r="P18" s="88"/>
      <c r="Q18" s="88"/>
      <c r="R18" s="88" t="s">
        <v>507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" customHeight="1" x14ac:dyDescent="0.15">
      <c r="A19" s="96" t="s">
        <v>416</v>
      </c>
      <c r="B19" s="86" t="s">
        <v>339</v>
      </c>
      <c r="C19" s="86" t="s">
        <v>157</v>
      </c>
      <c r="D19" s="86" t="s">
        <v>102</v>
      </c>
      <c r="E19" s="86" t="s">
        <v>417</v>
      </c>
      <c r="F19" s="97" t="s">
        <v>510</v>
      </c>
      <c r="G19" s="98" t="e">
        <f t="shared" ca="1" si="0"/>
        <v>#NAME?</v>
      </c>
      <c r="H19" s="99">
        <v>46162</v>
      </c>
      <c r="I19" s="100">
        <v>25.690650999999999</v>
      </c>
      <c r="J19" s="100">
        <v>89.615539999999996</v>
      </c>
      <c r="K19" s="86"/>
      <c r="L19" s="86" t="s">
        <v>418</v>
      </c>
      <c r="M19" s="101" t="s">
        <v>419</v>
      </c>
      <c r="N19" s="86" t="s">
        <v>420</v>
      </c>
      <c r="O19" s="101" t="s">
        <v>421</v>
      </c>
      <c r="P19" s="86"/>
      <c r="Q19" s="86"/>
      <c r="R19" s="86" t="s">
        <v>507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" customHeight="1" x14ac:dyDescent="0.15">
      <c r="A20" s="102" t="s">
        <v>422</v>
      </c>
      <c r="B20" s="88" t="s">
        <v>339</v>
      </c>
      <c r="C20" s="88" t="s">
        <v>157</v>
      </c>
      <c r="D20" s="88" t="s">
        <v>102</v>
      </c>
      <c r="E20" s="88" t="s">
        <v>423</v>
      </c>
      <c r="F20" s="103" t="s">
        <v>489</v>
      </c>
      <c r="G20" s="104" t="e">
        <f t="shared" ca="1" si="0"/>
        <v>#NAME?</v>
      </c>
      <c r="H20" s="105">
        <v>46160</v>
      </c>
      <c r="I20" s="106">
        <v>25.642386999999999</v>
      </c>
      <c r="J20" s="106">
        <v>89.617095000000006</v>
      </c>
      <c r="K20" s="88"/>
      <c r="L20" s="88" t="s">
        <v>424</v>
      </c>
      <c r="M20" s="107" t="s">
        <v>425</v>
      </c>
      <c r="N20" s="88" t="s">
        <v>420</v>
      </c>
      <c r="O20" s="107" t="s">
        <v>421</v>
      </c>
      <c r="P20" s="88"/>
      <c r="Q20" s="88"/>
      <c r="R20" s="88" t="s">
        <v>507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15" customHeight="1" x14ac:dyDescent="0.15">
      <c r="A21" s="96" t="s">
        <v>426</v>
      </c>
      <c r="B21" s="86" t="s">
        <v>339</v>
      </c>
      <c r="C21" s="86" t="s">
        <v>157</v>
      </c>
      <c r="D21" s="86" t="s">
        <v>129</v>
      </c>
      <c r="E21" s="86" t="s">
        <v>427</v>
      </c>
      <c r="F21" s="97" t="s">
        <v>489</v>
      </c>
      <c r="G21" s="98" t="e">
        <f t="shared" ca="1" si="0"/>
        <v>#NAME?</v>
      </c>
      <c r="H21" s="99">
        <v>46154</v>
      </c>
      <c r="I21" s="100">
        <v>25.563040000000001</v>
      </c>
      <c r="J21" s="100">
        <v>89.851900000000001</v>
      </c>
      <c r="K21" s="86"/>
      <c r="L21" s="86" t="s">
        <v>428</v>
      </c>
      <c r="M21" s="101" t="s">
        <v>429</v>
      </c>
      <c r="N21" s="86" t="s">
        <v>207</v>
      </c>
      <c r="O21" s="101" t="s">
        <v>430</v>
      </c>
      <c r="P21" s="86"/>
      <c r="Q21" s="86"/>
      <c r="R21" s="86" t="s">
        <v>507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" customHeight="1" x14ac:dyDescent="0.15">
      <c r="A22" s="102" t="s">
        <v>431</v>
      </c>
      <c r="B22" s="88" t="s">
        <v>339</v>
      </c>
      <c r="C22" s="88" t="s">
        <v>157</v>
      </c>
      <c r="D22" s="88" t="s">
        <v>129</v>
      </c>
      <c r="E22" s="88" t="s">
        <v>432</v>
      </c>
      <c r="F22" s="103" t="s">
        <v>506</v>
      </c>
      <c r="G22" s="104" t="e">
        <f t="shared" ca="1" si="0"/>
        <v>#NAME?</v>
      </c>
      <c r="H22" s="105">
        <v>46155</v>
      </c>
      <c r="I22" s="106">
        <v>25.5412</v>
      </c>
      <c r="J22" s="106">
        <v>89.831000000000003</v>
      </c>
      <c r="K22" s="88"/>
      <c r="L22" s="88" t="s">
        <v>433</v>
      </c>
      <c r="M22" s="107" t="s">
        <v>434</v>
      </c>
      <c r="N22" s="88" t="s">
        <v>207</v>
      </c>
      <c r="O22" s="107" t="s">
        <v>430</v>
      </c>
      <c r="P22" s="88"/>
      <c r="Q22" s="88"/>
      <c r="R22" s="88" t="s">
        <v>507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" customHeight="1" x14ac:dyDescent="0.15">
      <c r="A23" s="96" t="s">
        <v>435</v>
      </c>
      <c r="B23" s="86" t="s">
        <v>339</v>
      </c>
      <c r="C23" s="86" t="s">
        <v>157</v>
      </c>
      <c r="D23" s="86" t="s">
        <v>129</v>
      </c>
      <c r="E23" s="86" t="s">
        <v>436</v>
      </c>
      <c r="F23" s="97" t="s">
        <v>508</v>
      </c>
      <c r="G23" s="98" t="e">
        <f t="shared" ca="1" si="0"/>
        <v>#NAME?</v>
      </c>
      <c r="H23" s="99">
        <v>46157</v>
      </c>
      <c r="I23" s="100">
        <v>25.584109999999999</v>
      </c>
      <c r="J23" s="100">
        <v>89.882149999999996</v>
      </c>
      <c r="K23" s="86"/>
      <c r="L23" s="86" t="s">
        <v>437</v>
      </c>
      <c r="M23" s="101" t="s">
        <v>438</v>
      </c>
      <c r="N23" s="86" t="s">
        <v>207</v>
      </c>
      <c r="O23" s="101" t="s">
        <v>430</v>
      </c>
      <c r="P23" s="86"/>
      <c r="Q23" s="86"/>
      <c r="R23" s="86" t="s">
        <v>507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" customHeight="1" x14ac:dyDescent="0.15">
      <c r="A24" s="102" t="s">
        <v>439</v>
      </c>
      <c r="B24" s="88" t="s">
        <v>339</v>
      </c>
      <c r="C24" s="88" t="s">
        <v>157</v>
      </c>
      <c r="D24" s="88" t="s">
        <v>129</v>
      </c>
      <c r="E24" s="88" t="s">
        <v>440</v>
      </c>
      <c r="F24" s="103" t="s">
        <v>510</v>
      </c>
      <c r="G24" s="104" t="e">
        <f t="shared" ca="1" si="0"/>
        <v>#NAME?</v>
      </c>
      <c r="H24" s="105">
        <v>46157</v>
      </c>
      <c r="I24" s="106">
        <v>25.552299999999999</v>
      </c>
      <c r="J24" s="106">
        <v>89.845399999999998</v>
      </c>
      <c r="K24" s="88"/>
      <c r="L24" s="88" t="s">
        <v>441</v>
      </c>
      <c r="M24" s="107" t="s">
        <v>442</v>
      </c>
      <c r="N24" s="88" t="s">
        <v>207</v>
      </c>
      <c r="O24" s="107" t="s">
        <v>430</v>
      </c>
      <c r="P24" s="88"/>
      <c r="Q24" s="88"/>
      <c r="R24" s="88" t="s">
        <v>507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" customHeight="1" x14ac:dyDescent="0.15">
      <c r="A25" s="96" t="s">
        <v>443</v>
      </c>
      <c r="B25" s="86" t="s">
        <v>339</v>
      </c>
      <c r="C25" s="86" t="s">
        <v>157</v>
      </c>
      <c r="D25" s="86" t="s">
        <v>108</v>
      </c>
      <c r="E25" s="86" t="s">
        <v>359</v>
      </c>
      <c r="F25" s="97" t="s">
        <v>489</v>
      </c>
      <c r="G25" s="98" t="e">
        <f t="shared" ca="1" si="0"/>
        <v>#NAME?</v>
      </c>
      <c r="H25" s="99">
        <v>46160</v>
      </c>
      <c r="I25" s="100">
        <v>25.621449999999999</v>
      </c>
      <c r="J25" s="100">
        <v>89.684119999999993</v>
      </c>
      <c r="K25" s="86"/>
      <c r="L25" s="86" t="s">
        <v>444</v>
      </c>
      <c r="M25" s="101" t="s">
        <v>445</v>
      </c>
      <c r="N25" s="86" t="s">
        <v>446</v>
      </c>
      <c r="O25" s="101" t="s">
        <v>447</v>
      </c>
      <c r="P25" s="86"/>
      <c r="Q25" s="86"/>
      <c r="R25" s="86" t="s">
        <v>507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15" customHeight="1" x14ac:dyDescent="0.15">
      <c r="A26" s="102" t="s">
        <v>448</v>
      </c>
      <c r="B26" s="88" t="s">
        <v>339</v>
      </c>
      <c r="C26" s="88" t="s">
        <v>157</v>
      </c>
      <c r="D26" s="88" t="s">
        <v>108</v>
      </c>
      <c r="E26" s="88" t="s">
        <v>449</v>
      </c>
      <c r="F26" s="103" t="s">
        <v>506</v>
      </c>
      <c r="G26" s="104" t="e">
        <f t="shared" ca="1" si="0"/>
        <v>#NAME?</v>
      </c>
      <c r="H26" s="105">
        <v>46161</v>
      </c>
      <c r="I26" s="106">
        <v>25.59301</v>
      </c>
      <c r="J26" s="106">
        <v>89.661469999999994</v>
      </c>
      <c r="K26" s="88"/>
      <c r="L26" s="88" t="s">
        <v>450</v>
      </c>
      <c r="M26" s="107" t="s">
        <v>451</v>
      </c>
      <c r="N26" s="88" t="s">
        <v>446</v>
      </c>
      <c r="O26" s="107" t="s">
        <v>447</v>
      </c>
      <c r="P26" s="88"/>
      <c r="Q26" s="88"/>
      <c r="R26" s="88" t="s">
        <v>507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5" customHeight="1" x14ac:dyDescent="0.15">
      <c r="A27" s="96" t="s">
        <v>452</v>
      </c>
      <c r="B27" s="86" t="s">
        <v>339</v>
      </c>
      <c r="C27" s="86" t="s">
        <v>157</v>
      </c>
      <c r="D27" s="86" t="s">
        <v>108</v>
      </c>
      <c r="E27" s="86" t="s">
        <v>436</v>
      </c>
      <c r="F27" s="97" t="s">
        <v>508</v>
      </c>
      <c r="G27" s="98" t="e">
        <f t="shared" ca="1" si="0"/>
        <v>#NAME?</v>
      </c>
      <c r="H27" s="99">
        <v>46162</v>
      </c>
      <c r="I27" s="100">
        <v>25.6112</v>
      </c>
      <c r="J27" s="100">
        <v>89.695300000000003</v>
      </c>
      <c r="K27" s="86"/>
      <c r="L27" s="86" t="s">
        <v>453</v>
      </c>
      <c r="M27" s="101" t="s">
        <v>454</v>
      </c>
      <c r="N27" s="86" t="s">
        <v>446</v>
      </c>
      <c r="O27" s="101" t="s">
        <v>447</v>
      </c>
      <c r="P27" s="86"/>
      <c r="Q27" s="86"/>
      <c r="R27" s="86" t="s">
        <v>507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 ht="15" customHeight="1" x14ac:dyDescent="0.15">
      <c r="A28" s="102" t="s">
        <v>455</v>
      </c>
      <c r="B28" s="88" t="s">
        <v>339</v>
      </c>
      <c r="C28" s="88" t="s">
        <v>157</v>
      </c>
      <c r="D28" s="88" t="s">
        <v>108</v>
      </c>
      <c r="E28" s="88" t="s">
        <v>509</v>
      </c>
      <c r="F28" s="103" t="s">
        <v>510</v>
      </c>
      <c r="G28" s="104" t="e">
        <f t="shared" ca="1" si="0"/>
        <v>#NAME?</v>
      </c>
      <c r="H28" s="105">
        <v>46164</v>
      </c>
      <c r="I28" s="106">
        <v>25.604500000000002</v>
      </c>
      <c r="J28" s="106">
        <v>89.671199999999999</v>
      </c>
      <c r="K28" s="88"/>
      <c r="L28" s="88" t="s">
        <v>456</v>
      </c>
      <c r="M28" s="107" t="s">
        <v>457</v>
      </c>
      <c r="N28" s="88" t="s">
        <v>446</v>
      </c>
      <c r="O28" s="107" t="s">
        <v>447</v>
      </c>
      <c r="P28" s="88"/>
      <c r="Q28" s="88"/>
      <c r="R28" s="88" t="s">
        <v>507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" customHeight="1" x14ac:dyDescent="0.15">
      <c r="A29" s="96" t="s">
        <v>458</v>
      </c>
      <c r="B29" s="86" t="s">
        <v>339</v>
      </c>
      <c r="C29" s="86" t="s">
        <v>157</v>
      </c>
      <c r="D29" s="86" t="s">
        <v>119</v>
      </c>
      <c r="E29" s="86" t="s">
        <v>459</v>
      </c>
      <c r="F29" s="97" t="s">
        <v>489</v>
      </c>
      <c r="G29" s="98" t="e">
        <f t="shared" ca="1" si="0"/>
        <v>#NAME?</v>
      </c>
      <c r="H29" s="99">
        <v>46167</v>
      </c>
      <c r="I29" s="100">
        <v>25.98142</v>
      </c>
      <c r="J29" s="100">
        <v>89.652140000000003</v>
      </c>
      <c r="K29" s="86"/>
      <c r="L29" s="86" t="s">
        <v>460</v>
      </c>
      <c r="M29" s="101" t="s">
        <v>461</v>
      </c>
      <c r="N29" s="86" t="s">
        <v>462</v>
      </c>
      <c r="O29" s="101" t="s">
        <v>463</v>
      </c>
      <c r="P29" s="86"/>
      <c r="Q29" s="86"/>
      <c r="R29" s="86" t="s">
        <v>507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15" customHeight="1" x14ac:dyDescent="0.15">
      <c r="A30" s="102" t="s">
        <v>464</v>
      </c>
      <c r="B30" s="88" t="s">
        <v>339</v>
      </c>
      <c r="C30" s="88" t="s">
        <v>157</v>
      </c>
      <c r="D30" s="88" t="s">
        <v>119</v>
      </c>
      <c r="E30" s="88" t="s">
        <v>465</v>
      </c>
      <c r="F30" s="103" t="s">
        <v>506</v>
      </c>
      <c r="G30" s="104" t="e">
        <f t="shared" ca="1" si="0"/>
        <v>#NAME?</v>
      </c>
      <c r="H30" s="105">
        <v>46168</v>
      </c>
      <c r="I30" s="106">
        <v>25.964110000000002</v>
      </c>
      <c r="J30" s="106">
        <v>89.631020000000007</v>
      </c>
      <c r="K30" s="88"/>
      <c r="L30" s="88" t="s">
        <v>466</v>
      </c>
      <c r="M30" s="107" t="s">
        <v>467</v>
      </c>
      <c r="N30" s="88" t="s">
        <v>462</v>
      </c>
      <c r="O30" s="107" t="s">
        <v>463</v>
      </c>
      <c r="P30" s="88"/>
      <c r="Q30" s="88"/>
      <c r="R30" s="88" t="s">
        <v>507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ht="15" customHeight="1" x14ac:dyDescent="0.15">
      <c r="A31" s="96" t="s">
        <v>468</v>
      </c>
      <c r="B31" s="86" t="s">
        <v>339</v>
      </c>
      <c r="C31" s="86" t="s">
        <v>157</v>
      </c>
      <c r="D31" s="86" t="s">
        <v>119</v>
      </c>
      <c r="E31" s="86" t="s">
        <v>411</v>
      </c>
      <c r="F31" s="97" t="s">
        <v>508</v>
      </c>
      <c r="G31" s="98" t="e">
        <f t="shared" ca="1" si="0"/>
        <v>#NAME?</v>
      </c>
      <c r="H31" s="99">
        <v>46170</v>
      </c>
      <c r="I31" s="100">
        <v>25.9923</v>
      </c>
      <c r="J31" s="100">
        <v>89.674509999999998</v>
      </c>
      <c r="K31" s="86"/>
      <c r="L31" s="86" t="s">
        <v>469</v>
      </c>
      <c r="M31" s="101" t="s">
        <v>470</v>
      </c>
      <c r="N31" s="86" t="s">
        <v>462</v>
      </c>
      <c r="O31" s="101" t="s">
        <v>463</v>
      </c>
      <c r="P31" s="86"/>
      <c r="Q31" s="86"/>
      <c r="R31" s="86" t="s">
        <v>507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ht="15" customHeight="1" x14ac:dyDescent="0.15">
      <c r="A32" s="102" t="s">
        <v>471</v>
      </c>
      <c r="B32" s="88" t="s">
        <v>339</v>
      </c>
      <c r="C32" s="88" t="s">
        <v>157</v>
      </c>
      <c r="D32" s="88" t="s">
        <v>119</v>
      </c>
      <c r="E32" s="88" t="s">
        <v>353</v>
      </c>
      <c r="F32" s="103" t="s">
        <v>510</v>
      </c>
      <c r="G32" s="104" t="e">
        <f t="shared" ca="1" si="0"/>
        <v>#NAME?</v>
      </c>
      <c r="H32" s="105">
        <v>46172</v>
      </c>
      <c r="I32" s="106">
        <v>25.971499999999999</v>
      </c>
      <c r="J32" s="106">
        <v>89.641199999999998</v>
      </c>
      <c r="K32" s="88"/>
      <c r="L32" s="88" t="s">
        <v>472</v>
      </c>
      <c r="M32" s="107" t="s">
        <v>473</v>
      </c>
      <c r="N32" s="88" t="s">
        <v>462</v>
      </c>
      <c r="O32" s="107" t="s">
        <v>463</v>
      </c>
      <c r="P32" s="88"/>
      <c r="Q32" s="88"/>
      <c r="R32" s="88" t="s">
        <v>507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15" customHeight="1" x14ac:dyDescent="0.15">
      <c r="A33" s="96" t="s">
        <v>474</v>
      </c>
      <c r="B33" s="86" t="s">
        <v>339</v>
      </c>
      <c r="C33" s="86" t="s">
        <v>157</v>
      </c>
      <c r="D33" s="86" t="s">
        <v>475</v>
      </c>
      <c r="E33" s="86" t="s">
        <v>359</v>
      </c>
      <c r="F33" s="97" t="s">
        <v>489</v>
      </c>
      <c r="G33" s="98" t="e">
        <f t="shared" ca="1" si="0"/>
        <v>#NAME?</v>
      </c>
      <c r="H33" s="99">
        <v>46174</v>
      </c>
      <c r="I33" s="100">
        <v>25.941199999999998</v>
      </c>
      <c r="J33" s="100">
        <v>89.5214</v>
      </c>
      <c r="K33" s="86"/>
      <c r="L33" s="86" t="s">
        <v>476</v>
      </c>
      <c r="M33" s="101" t="s">
        <v>477</v>
      </c>
      <c r="N33" s="86" t="s">
        <v>478</v>
      </c>
      <c r="O33" s="101" t="s">
        <v>479</v>
      </c>
      <c r="P33" s="86"/>
      <c r="Q33" s="86"/>
      <c r="R33" s="86" t="s">
        <v>507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15" customHeight="1" x14ac:dyDescent="0.15">
      <c r="A34" s="102" t="s">
        <v>480</v>
      </c>
      <c r="B34" s="88" t="s">
        <v>339</v>
      </c>
      <c r="C34" s="88" t="s">
        <v>157</v>
      </c>
      <c r="D34" s="88" t="s">
        <v>475</v>
      </c>
      <c r="E34" s="88" t="s">
        <v>406</v>
      </c>
      <c r="F34" s="103" t="s">
        <v>506</v>
      </c>
      <c r="G34" s="104" t="e">
        <f t="shared" ca="1" si="0"/>
        <v>#NAME?</v>
      </c>
      <c r="H34" s="105">
        <v>46175</v>
      </c>
      <c r="I34" s="106">
        <v>25.923100000000002</v>
      </c>
      <c r="J34" s="106">
        <v>89.504099999999994</v>
      </c>
      <c r="K34" s="88"/>
      <c r="L34" s="88" t="s">
        <v>481</v>
      </c>
      <c r="M34" s="107" t="s">
        <v>482</v>
      </c>
      <c r="N34" s="88" t="s">
        <v>478</v>
      </c>
      <c r="O34" s="107" t="s">
        <v>479</v>
      </c>
      <c r="P34" s="88"/>
      <c r="Q34" s="88"/>
      <c r="R34" s="88" t="s">
        <v>507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5" customHeight="1" x14ac:dyDescent="0.15">
      <c r="A35" s="96" t="s">
        <v>483</v>
      </c>
      <c r="B35" s="86" t="s">
        <v>339</v>
      </c>
      <c r="C35" s="86" t="s">
        <v>157</v>
      </c>
      <c r="D35" s="86" t="s">
        <v>475</v>
      </c>
      <c r="E35" s="86" t="s">
        <v>436</v>
      </c>
      <c r="F35" s="97" t="s">
        <v>508</v>
      </c>
      <c r="G35" s="98" t="e">
        <f t="shared" ca="1" si="0"/>
        <v>#NAME?</v>
      </c>
      <c r="H35" s="99">
        <v>46177</v>
      </c>
      <c r="I35" s="100">
        <v>25.952400000000001</v>
      </c>
      <c r="J35" s="100">
        <v>89.541200000000003</v>
      </c>
      <c r="K35" s="86"/>
      <c r="L35" s="86" t="s">
        <v>484</v>
      </c>
      <c r="M35" s="101" t="s">
        <v>485</v>
      </c>
      <c r="N35" s="86" t="s">
        <v>478</v>
      </c>
      <c r="O35" s="101" t="s">
        <v>479</v>
      </c>
      <c r="P35" s="86"/>
      <c r="Q35" s="86"/>
      <c r="R35" s="86" t="s">
        <v>507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15" customHeight="1" x14ac:dyDescent="0.15">
      <c r="A36" s="102" t="s">
        <v>486</v>
      </c>
      <c r="B36" s="88" t="s">
        <v>339</v>
      </c>
      <c r="C36" s="88" t="s">
        <v>157</v>
      </c>
      <c r="D36" s="88" t="s">
        <v>475</v>
      </c>
      <c r="E36" s="88" t="s">
        <v>417</v>
      </c>
      <c r="F36" s="103" t="s">
        <v>510</v>
      </c>
      <c r="G36" s="104" t="e">
        <f t="shared" ca="1" si="0"/>
        <v>#NAME?</v>
      </c>
      <c r="H36" s="105">
        <v>46178</v>
      </c>
      <c r="I36" s="106">
        <v>25.9315</v>
      </c>
      <c r="J36" s="106">
        <v>89.512299999999996</v>
      </c>
      <c r="K36" s="88"/>
      <c r="L36" s="88" t="s">
        <v>487</v>
      </c>
      <c r="M36" s="107" t="s">
        <v>488</v>
      </c>
      <c r="N36" s="88" t="s">
        <v>478</v>
      </c>
      <c r="O36" s="107" t="s">
        <v>479</v>
      </c>
      <c r="P36" s="88"/>
      <c r="Q36" s="88"/>
      <c r="R36" s="88" t="s">
        <v>507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5" customHeight="1" x14ac:dyDescent="0.15">
      <c r="A37" s="96" t="s">
        <v>489</v>
      </c>
      <c r="B37" s="86" t="s">
        <v>339</v>
      </c>
      <c r="C37" s="86" t="s">
        <v>157</v>
      </c>
      <c r="D37" s="86" t="s">
        <v>110</v>
      </c>
      <c r="E37" s="86" t="s">
        <v>427</v>
      </c>
      <c r="F37" s="97" t="s">
        <v>489</v>
      </c>
      <c r="G37" s="98" t="e">
        <f t="shared" ca="1" si="0"/>
        <v>#NAME?</v>
      </c>
      <c r="H37" s="99">
        <v>46181</v>
      </c>
      <c r="I37" s="100">
        <v>25.801200000000001</v>
      </c>
      <c r="J37" s="100">
        <v>89.551400000000001</v>
      </c>
      <c r="K37" s="86"/>
      <c r="L37" s="86" t="s">
        <v>490</v>
      </c>
      <c r="M37" s="101" t="s">
        <v>491</v>
      </c>
      <c r="N37" s="86" t="s">
        <v>492</v>
      </c>
      <c r="O37" s="101" t="s">
        <v>493</v>
      </c>
      <c r="P37" s="86"/>
      <c r="Q37" s="86"/>
      <c r="R37" s="86" t="s">
        <v>507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5" customHeight="1" x14ac:dyDescent="0.15">
      <c r="A38" s="102" t="s">
        <v>494</v>
      </c>
      <c r="B38" s="88" t="s">
        <v>339</v>
      </c>
      <c r="C38" s="88" t="s">
        <v>157</v>
      </c>
      <c r="D38" s="88" t="s">
        <v>110</v>
      </c>
      <c r="E38" s="88" t="s">
        <v>449</v>
      </c>
      <c r="F38" s="103" t="s">
        <v>506</v>
      </c>
      <c r="G38" s="104" t="e">
        <f t="shared" ca="1" si="0"/>
        <v>#NAME?</v>
      </c>
      <c r="H38" s="105">
        <v>46182</v>
      </c>
      <c r="I38" s="106">
        <v>25.784099999999999</v>
      </c>
      <c r="J38" s="106">
        <v>89.531000000000006</v>
      </c>
      <c r="K38" s="88"/>
      <c r="L38" s="88" t="s">
        <v>495</v>
      </c>
      <c r="M38" s="107" t="s">
        <v>496</v>
      </c>
      <c r="N38" s="88" t="s">
        <v>492</v>
      </c>
      <c r="O38" s="107" t="s">
        <v>493</v>
      </c>
      <c r="P38" s="88"/>
      <c r="Q38" s="88"/>
      <c r="R38" s="88" t="s">
        <v>507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5" customHeight="1" x14ac:dyDescent="0.15">
      <c r="A39" s="96" t="s">
        <v>497</v>
      </c>
      <c r="B39" s="86" t="s">
        <v>339</v>
      </c>
      <c r="C39" s="86" t="s">
        <v>157</v>
      </c>
      <c r="D39" s="86" t="s">
        <v>110</v>
      </c>
      <c r="E39" s="86" t="s">
        <v>436</v>
      </c>
      <c r="F39" s="97" t="s">
        <v>508</v>
      </c>
      <c r="G39" s="98" t="e">
        <f t="shared" ca="1" si="0"/>
        <v>#NAME?</v>
      </c>
      <c r="H39" s="99">
        <v>46183</v>
      </c>
      <c r="I39" s="100">
        <v>25.8123</v>
      </c>
      <c r="J39" s="100">
        <v>89.564099999999996</v>
      </c>
      <c r="K39" s="86"/>
      <c r="L39" s="86" t="s">
        <v>498</v>
      </c>
      <c r="M39" s="101" t="s">
        <v>499</v>
      </c>
      <c r="N39" s="86" t="s">
        <v>492</v>
      </c>
      <c r="O39" s="101" t="s">
        <v>493</v>
      </c>
      <c r="P39" s="86"/>
      <c r="Q39" s="86"/>
      <c r="R39" s="86" t="s">
        <v>507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5" customHeight="1" x14ac:dyDescent="0.15">
      <c r="A40" s="102" t="s">
        <v>500</v>
      </c>
      <c r="B40" s="88" t="s">
        <v>339</v>
      </c>
      <c r="C40" s="88" t="s">
        <v>157</v>
      </c>
      <c r="D40" s="88" t="s">
        <v>110</v>
      </c>
      <c r="E40" s="88" t="s">
        <v>509</v>
      </c>
      <c r="F40" s="103" t="s">
        <v>510</v>
      </c>
      <c r="G40" s="104" t="e">
        <f t="shared" ca="1" si="0"/>
        <v>#NAME?</v>
      </c>
      <c r="H40" s="105">
        <v>46185</v>
      </c>
      <c r="I40" s="106">
        <v>25.791499999999999</v>
      </c>
      <c r="J40" s="106">
        <v>89.541200000000003</v>
      </c>
      <c r="K40" s="88"/>
      <c r="L40" s="88" t="s">
        <v>501</v>
      </c>
      <c r="M40" s="107" t="s">
        <v>502</v>
      </c>
      <c r="N40" s="88" t="s">
        <v>492</v>
      </c>
      <c r="O40" s="107" t="s">
        <v>493</v>
      </c>
      <c r="P40" s="88"/>
      <c r="Q40" s="88"/>
      <c r="R40" s="88" t="s">
        <v>507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5" customHeight="1" x14ac:dyDescent="0.15">
      <c r="A41" s="86"/>
      <c r="B41" s="86"/>
      <c r="C41" s="86"/>
      <c r="D41" s="86"/>
      <c r="E41" s="108"/>
      <c r="F41" s="98">
        <f t="shared" ref="F41:G41" si="1">SUM(F5:F40)</f>
        <v>0</v>
      </c>
      <c r="G41" s="98" t="e">
        <f t="shared" ca="1" si="1"/>
        <v>#NAME?</v>
      </c>
      <c r="H41" s="109"/>
      <c r="I41" s="86"/>
      <c r="J41" s="86"/>
      <c r="K41" s="86"/>
      <c r="L41" s="86"/>
      <c r="M41" s="101"/>
      <c r="N41" s="86"/>
      <c r="O41" s="101"/>
      <c r="P41" s="86"/>
      <c r="Q41" s="86"/>
      <c r="R41" s="86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5.75" customHeight="1" x14ac:dyDescent="0.15">
      <c r="A42" s="33"/>
      <c r="B42" s="33"/>
      <c r="C42" s="33"/>
      <c r="D42" s="33"/>
      <c r="E42" s="33"/>
      <c r="F42" s="91"/>
      <c r="G42" s="91"/>
      <c r="H42" s="31"/>
      <c r="I42" s="33"/>
      <c r="J42" s="33"/>
      <c r="K42" s="33"/>
      <c r="L42" s="33"/>
      <c r="M42" s="92"/>
      <c r="N42" s="33"/>
      <c r="O42" s="92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5.75" customHeight="1" x14ac:dyDescent="0.15">
      <c r="A43" s="33"/>
      <c r="B43" s="33"/>
      <c r="C43" s="33"/>
      <c r="D43" s="33"/>
      <c r="E43" s="33"/>
      <c r="F43" s="91"/>
      <c r="G43" s="91"/>
      <c r="H43" s="31"/>
      <c r="I43" s="33"/>
      <c r="J43" s="33"/>
      <c r="K43" s="33"/>
      <c r="L43" s="33"/>
      <c r="M43" s="92"/>
      <c r="N43" s="33"/>
      <c r="O43" s="92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5.75" customHeight="1" x14ac:dyDescent="0.15">
      <c r="A44" s="33"/>
      <c r="B44" s="33"/>
      <c r="C44" s="33"/>
      <c r="D44" s="33"/>
      <c r="E44" s="33"/>
      <c r="F44" s="91"/>
      <c r="G44" s="91"/>
      <c r="H44" s="31"/>
      <c r="I44" s="33"/>
      <c r="J44" s="33"/>
      <c r="K44" s="33"/>
      <c r="L44" s="33"/>
      <c r="M44" s="92"/>
      <c r="N44" s="33"/>
      <c r="O44" s="92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5.75" customHeight="1" x14ac:dyDescent="0.15">
      <c r="A45" s="33"/>
      <c r="B45" s="33"/>
      <c r="C45" s="33"/>
      <c r="D45" s="33"/>
      <c r="E45" s="33"/>
      <c r="F45" s="91"/>
      <c r="G45" s="91"/>
      <c r="H45" s="31"/>
      <c r="I45" s="33"/>
      <c r="J45" s="33"/>
      <c r="K45" s="33"/>
      <c r="L45" s="33"/>
      <c r="M45" s="92"/>
      <c r="N45" s="33"/>
      <c r="O45" s="92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5.75" customHeight="1" x14ac:dyDescent="0.15">
      <c r="A46" s="33"/>
      <c r="B46" s="33"/>
      <c r="C46" s="33"/>
      <c r="D46" s="33"/>
      <c r="E46" s="33"/>
      <c r="F46" s="91"/>
      <c r="G46" s="91"/>
      <c r="H46" s="31"/>
      <c r="I46" s="33"/>
      <c r="J46" s="33"/>
      <c r="K46" s="33"/>
      <c r="L46" s="33"/>
      <c r="M46" s="92"/>
      <c r="N46" s="33"/>
      <c r="O46" s="92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.75" customHeight="1" x14ac:dyDescent="0.15">
      <c r="A47" s="33"/>
      <c r="B47" s="33"/>
      <c r="C47" s="33"/>
      <c r="D47" s="33"/>
      <c r="E47" s="33"/>
      <c r="F47" s="91"/>
      <c r="G47" s="91"/>
      <c r="H47" s="31"/>
      <c r="I47" s="33"/>
      <c r="J47" s="33"/>
      <c r="K47" s="33"/>
      <c r="L47" s="33"/>
      <c r="M47" s="92"/>
      <c r="N47" s="33"/>
      <c r="O47" s="92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5.75" customHeight="1" x14ac:dyDescent="0.15">
      <c r="A48" s="33"/>
      <c r="B48" s="33"/>
      <c r="C48" s="33"/>
      <c r="D48" s="33"/>
      <c r="E48" s="33"/>
      <c r="F48" s="91"/>
      <c r="G48" s="91"/>
      <c r="H48" s="31"/>
      <c r="I48" s="33"/>
      <c r="J48" s="33"/>
      <c r="K48" s="33"/>
      <c r="L48" s="33"/>
      <c r="M48" s="92"/>
      <c r="N48" s="33"/>
      <c r="O48" s="9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5.75" customHeight="1" x14ac:dyDescent="0.15">
      <c r="A49" s="33"/>
      <c r="B49" s="33"/>
      <c r="C49" s="33"/>
      <c r="D49" s="33"/>
      <c r="E49" s="33"/>
      <c r="F49" s="91"/>
      <c r="G49" s="91"/>
      <c r="H49" s="31"/>
      <c r="I49" s="33"/>
      <c r="J49" s="33"/>
      <c r="K49" s="33"/>
      <c r="L49" s="33"/>
      <c r="M49" s="92"/>
      <c r="N49" s="33"/>
      <c r="O49" s="92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5.75" customHeight="1" x14ac:dyDescent="0.15">
      <c r="A50" s="33"/>
      <c r="B50" s="33"/>
      <c r="C50" s="33"/>
      <c r="D50" s="33"/>
      <c r="E50" s="33"/>
      <c r="F50" s="91"/>
      <c r="G50" s="91"/>
      <c r="H50" s="31"/>
      <c r="I50" s="33"/>
      <c r="J50" s="33"/>
      <c r="K50" s="33"/>
      <c r="L50" s="33"/>
      <c r="M50" s="92"/>
      <c r="N50" s="33"/>
      <c r="O50" s="92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5.75" customHeight="1" x14ac:dyDescent="0.15">
      <c r="A51" s="33"/>
      <c r="B51" s="33"/>
      <c r="C51" s="33"/>
      <c r="D51" s="33"/>
      <c r="E51" s="33"/>
      <c r="F51" s="91"/>
      <c r="G51" s="91"/>
      <c r="H51" s="31"/>
      <c r="I51" s="33"/>
      <c r="J51" s="33"/>
      <c r="K51" s="33"/>
      <c r="L51" s="33"/>
      <c r="M51" s="92"/>
      <c r="N51" s="33"/>
      <c r="O51" s="92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15.75" customHeight="1" x14ac:dyDescent="0.15">
      <c r="A52" s="33"/>
      <c r="B52" s="33"/>
      <c r="C52" s="33"/>
      <c r="D52" s="33"/>
      <c r="E52" s="33"/>
      <c r="F52" s="91"/>
      <c r="G52" s="91"/>
      <c r="H52" s="31"/>
      <c r="I52" s="33"/>
      <c r="J52" s="33"/>
      <c r="K52" s="33"/>
      <c r="L52" s="33"/>
      <c r="M52" s="92"/>
      <c r="N52" s="33"/>
      <c r="O52" s="92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5.75" customHeight="1" x14ac:dyDescent="0.15">
      <c r="A53" s="33"/>
      <c r="B53" s="33"/>
      <c r="C53" s="33"/>
      <c r="D53" s="33"/>
      <c r="E53" s="33"/>
      <c r="F53" s="91"/>
      <c r="G53" s="91"/>
      <c r="H53" s="31"/>
      <c r="I53" s="33"/>
      <c r="J53" s="33"/>
      <c r="K53" s="33"/>
      <c r="L53" s="33"/>
      <c r="M53" s="92"/>
      <c r="N53" s="33"/>
      <c r="O53" s="92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5.75" customHeight="1" x14ac:dyDescent="0.15">
      <c r="A54" s="33"/>
      <c r="B54" s="33"/>
      <c r="C54" s="33"/>
      <c r="D54" s="33"/>
      <c r="E54" s="33"/>
      <c r="F54" s="91"/>
      <c r="G54" s="91"/>
      <c r="H54" s="31"/>
      <c r="I54" s="33"/>
      <c r="J54" s="33"/>
      <c r="K54" s="33"/>
      <c r="L54" s="33"/>
      <c r="M54" s="92"/>
      <c r="N54" s="33"/>
      <c r="O54" s="92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5.75" customHeight="1" x14ac:dyDescent="0.15">
      <c r="A55" s="33"/>
      <c r="B55" s="33"/>
      <c r="C55" s="33"/>
      <c r="D55" s="33"/>
      <c r="E55" s="33"/>
      <c r="F55" s="91"/>
      <c r="G55" s="91"/>
      <c r="H55" s="31"/>
      <c r="I55" s="33"/>
      <c r="J55" s="33"/>
      <c r="K55" s="33"/>
      <c r="L55" s="33"/>
      <c r="M55" s="92"/>
      <c r="N55" s="33"/>
      <c r="O55" s="92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5.75" customHeight="1" x14ac:dyDescent="0.15">
      <c r="A56" s="33"/>
      <c r="B56" s="33"/>
      <c r="C56" s="33"/>
      <c r="D56" s="33"/>
      <c r="E56" s="33"/>
      <c r="F56" s="91"/>
      <c r="G56" s="91"/>
      <c r="H56" s="31"/>
      <c r="I56" s="33"/>
      <c r="J56" s="33"/>
      <c r="K56" s="33"/>
      <c r="L56" s="33"/>
      <c r="M56" s="92"/>
      <c r="N56" s="33"/>
      <c r="O56" s="92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5.75" customHeight="1" x14ac:dyDescent="0.15">
      <c r="A57" s="33"/>
      <c r="B57" s="33"/>
      <c r="C57" s="33"/>
      <c r="D57" s="33"/>
      <c r="E57" s="33"/>
      <c r="F57" s="91"/>
      <c r="G57" s="91"/>
      <c r="H57" s="31"/>
      <c r="I57" s="33"/>
      <c r="J57" s="33"/>
      <c r="K57" s="33"/>
      <c r="L57" s="33"/>
      <c r="M57" s="92"/>
      <c r="N57" s="33"/>
      <c r="O57" s="92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5.75" customHeight="1" x14ac:dyDescent="0.15">
      <c r="A58" s="33"/>
      <c r="B58" s="33"/>
      <c r="C58" s="33"/>
      <c r="D58" s="33"/>
      <c r="E58" s="33"/>
      <c r="F58" s="91"/>
      <c r="G58" s="91"/>
      <c r="H58" s="31"/>
      <c r="I58" s="33"/>
      <c r="J58" s="33"/>
      <c r="K58" s="33"/>
      <c r="L58" s="33"/>
      <c r="M58" s="92"/>
      <c r="N58" s="33"/>
      <c r="O58" s="92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5.75" customHeight="1" x14ac:dyDescent="0.15">
      <c r="A59" s="33"/>
      <c r="B59" s="33"/>
      <c r="C59" s="33"/>
      <c r="D59" s="33"/>
      <c r="E59" s="33"/>
      <c r="F59" s="91"/>
      <c r="G59" s="91"/>
      <c r="H59" s="31"/>
      <c r="I59" s="33"/>
      <c r="J59" s="33"/>
      <c r="K59" s="33"/>
      <c r="L59" s="33"/>
      <c r="M59" s="92"/>
      <c r="N59" s="33"/>
      <c r="O59" s="92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5.75" customHeight="1" x14ac:dyDescent="0.15">
      <c r="A60" s="33"/>
      <c r="B60" s="33"/>
      <c r="C60" s="33"/>
      <c r="D60" s="33"/>
      <c r="E60" s="33"/>
      <c r="F60" s="91"/>
      <c r="G60" s="91"/>
      <c r="H60" s="31"/>
      <c r="I60" s="33"/>
      <c r="J60" s="33"/>
      <c r="K60" s="33"/>
      <c r="L60" s="33"/>
      <c r="M60" s="92"/>
      <c r="N60" s="33"/>
      <c r="O60" s="92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5.75" customHeight="1" x14ac:dyDescent="0.15">
      <c r="A61" s="33"/>
      <c r="B61" s="33"/>
      <c r="C61" s="33"/>
      <c r="D61" s="33"/>
      <c r="E61" s="33"/>
      <c r="F61" s="91"/>
      <c r="G61" s="91"/>
      <c r="H61" s="31"/>
      <c r="I61" s="33"/>
      <c r="J61" s="33"/>
      <c r="K61" s="33"/>
      <c r="L61" s="33"/>
      <c r="M61" s="92"/>
      <c r="N61" s="33"/>
      <c r="O61" s="92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.75" customHeight="1" x14ac:dyDescent="0.15">
      <c r="A62" s="33"/>
      <c r="B62" s="33"/>
      <c r="C62" s="33"/>
      <c r="D62" s="33"/>
      <c r="E62" s="33"/>
      <c r="F62" s="91"/>
      <c r="G62" s="91"/>
      <c r="H62" s="31"/>
      <c r="I62" s="33"/>
      <c r="J62" s="33"/>
      <c r="K62" s="33"/>
      <c r="L62" s="33"/>
      <c r="M62" s="92"/>
      <c r="N62" s="33"/>
      <c r="O62" s="92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5.75" customHeight="1" x14ac:dyDescent="0.15">
      <c r="A63" s="33"/>
      <c r="B63" s="33"/>
      <c r="C63" s="33"/>
      <c r="D63" s="33"/>
      <c r="E63" s="33"/>
      <c r="F63" s="91"/>
      <c r="G63" s="91"/>
      <c r="H63" s="31"/>
      <c r="I63" s="33"/>
      <c r="J63" s="33"/>
      <c r="K63" s="33"/>
      <c r="L63" s="33"/>
      <c r="M63" s="92"/>
      <c r="N63" s="33"/>
      <c r="O63" s="92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5.75" customHeight="1" x14ac:dyDescent="0.15">
      <c r="A64" s="33"/>
      <c r="B64" s="33"/>
      <c r="C64" s="33"/>
      <c r="D64" s="33"/>
      <c r="E64" s="33"/>
      <c r="F64" s="91"/>
      <c r="G64" s="91"/>
      <c r="H64" s="31"/>
      <c r="I64" s="33"/>
      <c r="J64" s="33"/>
      <c r="K64" s="33"/>
      <c r="L64" s="33"/>
      <c r="M64" s="92"/>
      <c r="N64" s="33"/>
      <c r="O64" s="92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5.75" customHeight="1" x14ac:dyDescent="0.15">
      <c r="A65" s="33"/>
      <c r="B65" s="33"/>
      <c r="C65" s="33"/>
      <c r="D65" s="33"/>
      <c r="E65" s="33"/>
      <c r="F65" s="91"/>
      <c r="G65" s="91"/>
      <c r="H65" s="31"/>
      <c r="I65" s="33"/>
      <c r="J65" s="33"/>
      <c r="K65" s="33"/>
      <c r="L65" s="33"/>
      <c r="M65" s="92"/>
      <c r="N65" s="33"/>
      <c r="O65" s="9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5.75" customHeight="1" x14ac:dyDescent="0.15">
      <c r="A66" s="33"/>
      <c r="B66" s="33"/>
      <c r="C66" s="33"/>
      <c r="D66" s="33"/>
      <c r="E66" s="33"/>
      <c r="F66" s="91"/>
      <c r="G66" s="91"/>
      <c r="H66" s="31"/>
      <c r="I66" s="33"/>
      <c r="J66" s="33"/>
      <c r="K66" s="33"/>
      <c r="L66" s="33"/>
      <c r="M66" s="92"/>
      <c r="N66" s="33"/>
      <c r="O66" s="92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5.75" customHeight="1" x14ac:dyDescent="0.15">
      <c r="A67" s="33"/>
      <c r="B67" s="33"/>
      <c r="C67" s="33"/>
      <c r="D67" s="33"/>
      <c r="E67" s="33"/>
      <c r="F67" s="91"/>
      <c r="G67" s="91"/>
      <c r="H67" s="31"/>
      <c r="I67" s="33"/>
      <c r="J67" s="33"/>
      <c r="K67" s="33"/>
      <c r="L67" s="33"/>
      <c r="M67" s="92"/>
      <c r="N67" s="33"/>
      <c r="O67" s="92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5.75" customHeight="1" x14ac:dyDescent="0.15">
      <c r="A68" s="33"/>
      <c r="B68" s="33"/>
      <c r="C68" s="33"/>
      <c r="D68" s="33"/>
      <c r="E68" s="33"/>
      <c r="F68" s="91"/>
      <c r="G68" s="91"/>
      <c r="H68" s="31"/>
      <c r="I68" s="33"/>
      <c r="J68" s="33"/>
      <c r="K68" s="33"/>
      <c r="L68" s="33"/>
      <c r="M68" s="92"/>
      <c r="N68" s="33"/>
      <c r="O68" s="92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15.75" customHeight="1" x14ac:dyDescent="0.15">
      <c r="A69" s="33"/>
      <c r="B69" s="33"/>
      <c r="C69" s="33"/>
      <c r="D69" s="33"/>
      <c r="E69" s="33"/>
      <c r="F69" s="91"/>
      <c r="G69" s="91"/>
      <c r="H69" s="31"/>
      <c r="I69" s="33"/>
      <c r="J69" s="33"/>
      <c r="K69" s="33"/>
      <c r="L69" s="33"/>
      <c r="M69" s="92"/>
      <c r="N69" s="33"/>
      <c r="O69" s="92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15.75" customHeight="1" x14ac:dyDescent="0.15">
      <c r="A70" s="33"/>
      <c r="B70" s="33"/>
      <c r="C70" s="33"/>
      <c r="D70" s="33"/>
      <c r="E70" s="33"/>
      <c r="F70" s="91"/>
      <c r="G70" s="91"/>
      <c r="H70" s="31"/>
      <c r="I70" s="33"/>
      <c r="J70" s="33"/>
      <c r="K70" s="33"/>
      <c r="L70" s="33"/>
      <c r="M70" s="92"/>
      <c r="N70" s="33"/>
      <c r="O70" s="92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5.75" customHeight="1" x14ac:dyDescent="0.15">
      <c r="A71" s="33"/>
      <c r="B71" s="33"/>
      <c r="C71" s="33"/>
      <c r="D71" s="33"/>
      <c r="E71" s="33"/>
      <c r="F71" s="91"/>
      <c r="G71" s="91"/>
      <c r="H71" s="31"/>
      <c r="I71" s="33"/>
      <c r="J71" s="33"/>
      <c r="K71" s="33"/>
      <c r="L71" s="33"/>
      <c r="M71" s="92"/>
      <c r="N71" s="33"/>
      <c r="O71" s="92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5.75" customHeight="1" x14ac:dyDescent="0.15">
      <c r="A72" s="33"/>
      <c r="B72" s="33"/>
      <c r="C72" s="33"/>
      <c r="D72" s="33"/>
      <c r="E72" s="33"/>
      <c r="F72" s="91"/>
      <c r="G72" s="91"/>
      <c r="H72" s="31"/>
      <c r="I72" s="33"/>
      <c r="J72" s="33"/>
      <c r="K72" s="33"/>
      <c r="L72" s="33"/>
      <c r="M72" s="92"/>
      <c r="N72" s="33"/>
      <c r="O72" s="92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5.75" customHeight="1" x14ac:dyDescent="0.15">
      <c r="A73" s="33"/>
      <c r="B73" s="33"/>
      <c r="C73" s="33"/>
      <c r="D73" s="33"/>
      <c r="E73" s="33"/>
      <c r="F73" s="91"/>
      <c r="G73" s="91"/>
      <c r="H73" s="31"/>
      <c r="I73" s="33"/>
      <c r="J73" s="33"/>
      <c r="K73" s="33"/>
      <c r="L73" s="33"/>
      <c r="M73" s="92"/>
      <c r="N73" s="33"/>
      <c r="O73" s="92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5.75" customHeight="1" x14ac:dyDescent="0.15">
      <c r="A74" s="33"/>
      <c r="B74" s="33"/>
      <c r="C74" s="33"/>
      <c r="D74" s="33"/>
      <c r="E74" s="33"/>
      <c r="F74" s="91"/>
      <c r="G74" s="91"/>
      <c r="H74" s="31"/>
      <c r="I74" s="33"/>
      <c r="J74" s="33"/>
      <c r="K74" s="33"/>
      <c r="L74" s="33"/>
      <c r="M74" s="92"/>
      <c r="N74" s="33"/>
      <c r="O74" s="92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5.75" customHeight="1" x14ac:dyDescent="0.15">
      <c r="A75" s="33"/>
      <c r="B75" s="33"/>
      <c r="C75" s="33"/>
      <c r="D75" s="33"/>
      <c r="E75" s="33"/>
      <c r="F75" s="91"/>
      <c r="G75" s="91"/>
      <c r="H75" s="31"/>
      <c r="I75" s="33"/>
      <c r="J75" s="33"/>
      <c r="K75" s="33"/>
      <c r="L75" s="33"/>
      <c r="M75" s="92"/>
      <c r="N75" s="33"/>
      <c r="O75" s="9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5.75" customHeight="1" x14ac:dyDescent="0.15">
      <c r="A76" s="33"/>
      <c r="B76" s="33"/>
      <c r="C76" s="33"/>
      <c r="D76" s="33"/>
      <c r="E76" s="33"/>
      <c r="F76" s="91"/>
      <c r="G76" s="91"/>
      <c r="H76" s="31"/>
      <c r="I76" s="33"/>
      <c r="J76" s="33"/>
      <c r="K76" s="33"/>
      <c r="L76" s="33"/>
      <c r="M76" s="92"/>
      <c r="N76" s="33"/>
      <c r="O76" s="92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5.75" customHeight="1" x14ac:dyDescent="0.15">
      <c r="A77" s="33"/>
      <c r="B77" s="33"/>
      <c r="C77" s="33"/>
      <c r="D77" s="33"/>
      <c r="E77" s="33"/>
      <c r="F77" s="91"/>
      <c r="G77" s="91"/>
      <c r="H77" s="31"/>
      <c r="I77" s="33"/>
      <c r="J77" s="33"/>
      <c r="K77" s="33"/>
      <c r="L77" s="33"/>
      <c r="M77" s="92"/>
      <c r="N77" s="33"/>
      <c r="O77" s="92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5.75" customHeight="1" x14ac:dyDescent="0.15">
      <c r="A78" s="33"/>
      <c r="B78" s="33"/>
      <c r="C78" s="33"/>
      <c r="D78" s="33"/>
      <c r="E78" s="33"/>
      <c r="F78" s="91"/>
      <c r="G78" s="91"/>
      <c r="H78" s="31"/>
      <c r="I78" s="33"/>
      <c r="J78" s="33"/>
      <c r="K78" s="33"/>
      <c r="L78" s="33"/>
      <c r="M78" s="92"/>
      <c r="N78" s="33"/>
      <c r="O78" s="9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15.75" customHeight="1" x14ac:dyDescent="0.15">
      <c r="A79" s="33"/>
      <c r="B79" s="33"/>
      <c r="C79" s="33"/>
      <c r="D79" s="33"/>
      <c r="E79" s="33"/>
      <c r="F79" s="91"/>
      <c r="G79" s="91"/>
      <c r="H79" s="31"/>
      <c r="I79" s="33"/>
      <c r="J79" s="33"/>
      <c r="K79" s="33"/>
      <c r="L79" s="33"/>
      <c r="M79" s="92"/>
      <c r="N79" s="33"/>
      <c r="O79" s="9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15.75" customHeight="1" x14ac:dyDescent="0.15">
      <c r="A80" s="33"/>
      <c r="B80" s="33"/>
      <c r="C80" s="33"/>
      <c r="D80" s="33"/>
      <c r="E80" s="33"/>
      <c r="F80" s="91"/>
      <c r="G80" s="91"/>
      <c r="H80" s="31"/>
      <c r="I80" s="33"/>
      <c r="J80" s="33"/>
      <c r="K80" s="33"/>
      <c r="L80" s="33"/>
      <c r="M80" s="92"/>
      <c r="N80" s="33"/>
      <c r="O80" s="9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5.75" customHeight="1" x14ac:dyDescent="0.15">
      <c r="A81" s="33"/>
      <c r="B81" s="33"/>
      <c r="C81" s="33"/>
      <c r="D81" s="33"/>
      <c r="E81" s="33"/>
      <c r="F81" s="91"/>
      <c r="G81" s="91"/>
      <c r="H81" s="31"/>
      <c r="I81" s="33"/>
      <c r="J81" s="33"/>
      <c r="K81" s="33"/>
      <c r="L81" s="33"/>
      <c r="M81" s="92"/>
      <c r="N81" s="33"/>
      <c r="O81" s="9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5.75" customHeight="1" x14ac:dyDescent="0.15">
      <c r="A82" s="33"/>
      <c r="B82" s="33"/>
      <c r="C82" s="33"/>
      <c r="D82" s="33"/>
      <c r="E82" s="33"/>
      <c r="F82" s="91"/>
      <c r="G82" s="91"/>
      <c r="H82" s="31"/>
      <c r="I82" s="33"/>
      <c r="J82" s="33"/>
      <c r="K82" s="33"/>
      <c r="L82" s="33"/>
      <c r="M82" s="92"/>
      <c r="N82" s="33"/>
      <c r="O82" s="9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5.75" customHeight="1" x14ac:dyDescent="0.15">
      <c r="A83" s="33"/>
      <c r="B83" s="33"/>
      <c r="C83" s="33"/>
      <c r="D83" s="33"/>
      <c r="E83" s="33"/>
      <c r="F83" s="91"/>
      <c r="G83" s="91"/>
      <c r="H83" s="31"/>
      <c r="I83" s="33"/>
      <c r="J83" s="33"/>
      <c r="K83" s="33"/>
      <c r="L83" s="33"/>
      <c r="M83" s="92"/>
      <c r="N83" s="33"/>
      <c r="O83" s="9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5.75" customHeight="1" x14ac:dyDescent="0.15">
      <c r="A84" s="33"/>
      <c r="B84" s="33"/>
      <c r="C84" s="33"/>
      <c r="D84" s="33"/>
      <c r="E84" s="33"/>
      <c r="F84" s="91"/>
      <c r="G84" s="91"/>
      <c r="H84" s="31"/>
      <c r="I84" s="33"/>
      <c r="J84" s="33"/>
      <c r="K84" s="33"/>
      <c r="L84" s="33"/>
      <c r="M84" s="92"/>
      <c r="N84" s="33"/>
      <c r="O84" s="9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5.75" customHeight="1" x14ac:dyDescent="0.15">
      <c r="A85" s="33"/>
      <c r="B85" s="33"/>
      <c r="C85" s="33"/>
      <c r="D85" s="33"/>
      <c r="E85" s="33"/>
      <c r="F85" s="91"/>
      <c r="G85" s="91"/>
      <c r="H85" s="31"/>
      <c r="I85" s="33"/>
      <c r="J85" s="33"/>
      <c r="K85" s="33"/>
      <c r="L85" s="33"/>
      <c r="M85" s="92"/>
      <c r="N85" s="33"/>
      <c r="O85" s="9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5.75" customHeight="1" x14ac:dyDescent="0.15">
      <c r="A86" s="33"/>
      <c r="B86" s="33"/>
      <c r="C86" s="33"/>
      <c r="D86" s="33"/>
      <c r="E86" s="33"/>
      <c r="F86" s="91"/>
      <c r="G86" s="91"/>
      <c r="H86" s="31"/>
      <c r="I86" s="33"/>
      <c r="J86" s="33"/>
      <c r="K86" s="33"/>
      <c r="L86" s="33"/>
      <c r="M86" s="92"/>
      <c r="N86" s="33"/>
      <c r="O86" s="9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5.75" customHeight="1" x14ac:dyDescent="0.15">
      <c r="A87" s="33"/>
      <c r="B87" s="33"/>
      <c r="C87" s="33"/>
      <c r="D87" s="33"/>
      <c r="E87" s="33"/>
      <c r="F87" s="91"/>
      <c r="G87" s="91"/>
      <c r="H87" s="31"/>
      <c r="I87" s="33"/>
      <c r="J87" s="33"/>
      <c r="K87" s="33"/>
      <c r="L87" s="33"/>
      <c r="M87" s="92"/>
      <c r="N87" s="33"/>
      <c r="O87" s="9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5.75" customHeight="1" x14ac:dyDescent="0.15">
      <c r="A88" s="33"/>
      <c r="B88" s="33"/>
      <c r="C88" s="33"/>
      <c r="D88" s="33"/>
      <c r="E88" s="33"/>
      <c r="F88" s="91"/>
      <c r="G88" s="91"/>
      <c r="H88" s="31"/>
      <c r="I88" s="33"/>
      <c r="J88" s="33"/>
      <c r="K88" s="33"/>
      <c r="L88" s="33"/>
      <c r="M88" s="92"/>
      <c r="N88" s="33"/>
      <c r="O88" s="9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5.75" customHeight="1" x14ac:dyDescent="0.15">
      <c r="A89" s="33"/>
      <c r="B89" s="33"/>
      <c r="C89" s="33"/>
      <c r="D89" s="33"/>
      <c r="E89" s="33"/>
      <c r="F89" s="91"/>
      <c r="G89" s="91"/>
      <c r="H89" s="31"/>
      <c r="I89" s="33"/>
      <c r="J89" s="33"/>
      <c r="K89" s="33"/>
      <c r="L89" s="33"/>
      <c r="M89" s="92"/>
      <c r="N89" s="33"/>
      <c r="O89" s="9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5.75" customHeight="1" x14ac:dyDescent="0.15">
      <c r="A90" s="33"/>
      <c r="B90" s="33"/>
      <c r="C90" s="33"/>
      <c r="D90" s="33"/>
      <c r="E90" s="33"/>
      <c r="F90" s="91"/>
      <c r="G90" s="91"/>
      <c r="H90" s="31"/>
      <c r="I90" s="33"/>
      <c r="J90" s="33"/>
      <c r="K90" s="33"/>
      <c r="L90" s="33"/>
      <c r="M90" s="92"/>
      <c r="N90" s="33"/>
      <c r="O90" s="9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5.75" customHeight="1" x14ac:dyDescent="0.15">
      <c r="A91" s="33"/>
      <c r="B91" s="33"/>
      <c r="C91" s="33"/>
      <c r="D91" s="33"/>
      <c r="E91" s="33"/>
      <c r="F91" s="91"/>
      <c r="G91" s="91"/>
      <c r="H91" s="31"/>
      <c r="I91" s="33"/>
      <c r="J91" s="33"/>
      <c r="K91" s="33"/>
      <c r="L91" s="33"/>
      <c r="M91" s="92"/>
      <c r="N91" s="33"/>
      <c r="O91" s="9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5.75" customHeight="1" x14ac:dyDescent="0.15">
      <c r="A92" s="33"/>
      <c r="B92" s="33"/>
      <c r="C92" s="33"/>
      <c r="D92" s="33"/>
      <c r="E92" s="33"/>
      <c r="F92" s="91"/>
      <c r="G92" s="91"/>
      <c r="H92" s="31"/>
      <c r="I92" s="33"/>
      <c r="J92" s="33"/>
      <c r="K92" s="33"/>
      <c r="L92" s="33"/>
      <c r="M92" s="92"/>
      <c r="N92" s="33"/>
      <c r="O92" s="9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5.75" customHeight="1" x14ac:dyDescent="0.15">
      <c r="A93" s="33"/>
      <c r="B93" s="33"/>
      <c r="C93" s="33"/>
      <c r="D93" s="33"/>
      <c r="E93" s="33"/>
      <c r="F93" s="91"/>
      <c r="G93" s="91"/>
      <c r="H93" s="31"/>
      <c r="I93" s="33"/>
      <c r="J93" s="33"/>
      <c r="K93" s="33"/>
      <c r="L93" s="33"/>
      <c r="M93" s="92"/>
      <c r="N93" s="33"/>
      <c r="O93" s="9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5.75" customHeight="1" x14ac:dyDescent="0.15">
      <c r="A94" s="33"/>
      <c r="B94" s="33"/>
      <c r="C94" s="33"/>
      <c r="D94" s="33"/>
      <c r="E94" s="33"/>
      <c r="F94" s="91"/>
      <c r="G94" s="91"/>
      <c r="H94" s="31"/>
      <c r="I94" s="33"/>
      <c r="J94" s="33"/>
      <c r="K94" s="33"/>
      <c r="L94" s="33"/>
      <c r="M94" s="92"/>
      <c r="N94" s="33"/>
      <c r="O94" s="9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5.75" customHeight="1" x14ac:dyDescent="0.15">
      <c r="A95" s="33"/>
      <c r="B95" s="33"/>
      <c r="C95" s="33"/>
      <c r="D95" s="33"/>
      <c r="E95" s="33"/>
      <c r="F95" s="91"/>
      <c r="G95" s="91"/>
      <c r="H95" s="31"/>
      <c r="I95" s="33"/>
      <c r="J95" s="33"/>
      <c r="K95" s="33"/>
      <c r="L95" s="33"/>
      <c r="M95" s="92"/>
      <c r="N95" s="33"/>
      <c r="O95" s="9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5.75" customHeight="1" x14ac:dyDescent="0.15">
      <c r="A96" s="33"/>
      <c r="B96" s="33"/>
      <c r="C96" s="33"/>
      <c r="D96" s="33"/>
      <c r="E96" s="33"/>
      <c r="F96" s="91"/>
      <c r="G96" s="91"/>
      <c r="H96" s="31"/>
      <c r="I96" s="33"/>
      <c r="J96" s="33"/>
      <c r="K96" s="33"/>
      <c r="L96" s="33"/>
      <c r="M96" s="92"/>
      <c r="N96" s="33"/>
      <c r="O96" s="92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15.75" customHeight="1" x14ac:dyDescent="0.15">
      <c r="A97" s="33"/>
      <c r="B97" s="33"/>
      <c r="C97" s="33"/>
      <c r="D97" s="33"/>
      <c r="E97" s="33"/>
      <c r="F97" s="91"/>
      <c r="G97" s="91"/>
      <c r="H97" s="31"/>
      <c r="I97" s="33"/>
      <c r="J97" s="33"/>
      <c r="K97" s="33"/>
      <c r="L97" s="33"/>
      <c r="M97" s="92"/>
      <c r="N97" s="33"/>
      <c r="O97" s="92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5.75" customHeight="1" x14ac:dyDescent="0.15">
      <c r="A98" s="33"/>
      <c r="B98" s="33"/>
      <c r="C98" s="33"/>
      <c r="D98" s="33"/>
      <c r="E98" s="33"/>
      <c r="F98" s="91"/>
      <c r="G98" s="91"/>
      <c r="H98" s="31"/>
      <c r="I98" s="33"/>
      <c r="J98" s="33"/>
      <c r="K98" s="33"/>
      <c r="L98" s="33"/>
      <c r="M98" s="92"/>
      <c r="N98" s="33"/>
      <c r="O98" s="92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5.75" customHeight="1" x14ac:dyDescent="0.15">
      <c r="A99" s="33"/>
      <c r="B99" s="33"/>
      <c r="C99" s="33"/>
      <c r="D99" s="33"/>
      <c r="E99" s="33"/>
      <c r="F99" s="91"/>
      <c r="G99" s="91"/>
      <c r="H99" s="31"/>
      <c r="I99" s="33"/>
      <c r="J99" s="33"/>
      <c r="K99" s="33"/>
      <c r="L99" s="33"/>
      <c r="M99" s="92"/>
      <c r="N99" s="33"/>
      <c r="O99" s="92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5.75" customHeight="1" x14ac:dyDescent="0.15">
      <c r="A100" s="33"/>
      <c r="B100" s="33"/>
      <c r="C100" s="33"/>
      <c r="D100" s="33"/>
      <c r="E100" s="33"/>
      <c r="F100" s="91"/>
      <c r="G100" s="91"/>
      <c r="H100" s="31"/>
      <c r="I100" s="33"/>
      <c r="J100" s="33"/>
      <c r="K100" s="33"/>
      <c r="L100" s="33"/>
      <c r="M100" s="92"/>
      <c r="N100" s="33"/>
      <c r="O100" s="92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5.75" customHeight="1" x14ac:dyDescent="0.15">
      <c r="A101" s="33"/>
      <c r="B101" s="33"/>
      <c r="C101" s="33"/>
      <c r="D101" s="33"/>
      <c r="E101" s="33"/>
      <c r="F101" s="91"/>
      <c r="G101" s="91"/>
      <c r="H101" s="31"/>
      <c r="I101" s="33"/>
      <c r="J101" s="33"/>
      <c r="K101" s="33"/>
      <c r="L101" s="33"/>
      <c r="M101" s="92"/>
      <c r="N101" s="33"/>
      <c r="O101" s="92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5.75" customHeight="1" x14ac:dyDescent="0.15">
      <c r="A102" s="33"/>
      <c r="B102" s="33"/>
      <c r="C102" s="33"/>
      <c r="D102" s="33"/>
      <c r="E102" s="33"/>
      <c r="F102" s="91"/>
      <c r="G102" s="91"/>
      <c r="H102" s="31"/>
      <c r="I102" s="33"/>
      <c r="J102" s="33"/>
      <c r="K102" s="33"/>
      <c r="L102" s="33"/>
      <c r="M102" s="92"/>
      <c r="N102" s="33"/>
      <c r="O102" s="92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5.75" customHeight="1" x14ac:dyDescent="0.15">
      <c r="A103" s="33"/>
      <c r="B103" s="33"/>
      <c r="C103" s="33"/>
      <c r="D103" s="33"/>
      <c r="E103" s="33"/>
      <c r="F103" s="91"/>
      <c r="G103" s="91"/>
      <c r="H103" s="31"/>
      <c r="I103" s="33"/>
      <c r="J103" s="33"/>
      <c r="K103" s="33"/>
      <c r="L103" s="33"/>
      <c r="M103" s="92"/>
      <c r="N103" s="33"/>
      <c r="O103" s="92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5.75" customHeight="1" x14ac:dyDescent="0.15">
      <c r="A104" s="33"/>
      <c r="B104" s="33"/>
      <c r="C104" s="33"/>
      <c r="D104" s="33"/>
      <c r="E104" s="33"/>
      <c r="F104" s="91"/>
      <c r="G104" s="91"/>
      <c r="H104" s="31"/>
      <c r="I104" s="33"/>
      <c r="J104" s="33"/>
      <c r="K104" s="33"/>
      <c r="L104" s="33"/>
      <c r="M104" s="92"/>
      <c r="N104" s="33"/>
      <c r="O104" s="92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5.75" customHeight="1" x14ac:dyDescent="0.15">
      <c r="A105" s="33"/>
      <c r="B105" s="33"/>
      <c r="C105" s="33"/>
      <c r="D105" s="33"/>
      <c r="E105" s="33"/>
      <c r="F105" s="91"/>
      <c r="G105" s="91"/>
      <c r="H105" s="31"/>
      <c r="I105" s="33"/>
      <c r="J105" s="33"/>
      <c r="K105" s="33"/>
      <c r="L105" s="33"/>
      <c r="M105" s="92"/>
      <c r="N105" s="33"/>
      <c r="O105" s="92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5.75" customHeight="1" x14ac:dyDescent="0.15">
      <c r="A106" s="33"/>
      <c r="B106" s="33"/>
      <c r="C106" s="33"/>
      <c r="D106" s="33"/>
      <c r="E106" s="33"/>
      <c r="F106" s="91"/>
      <c r="G106" s="91"/>
      <c r="H106" s="31"/>
      <c r="I106" s="33"/>
      <c r="J106" s="33"/>
      <c r="K106" s="33"/>
      <c r="L106" s="33"/>
      <c r="M106" s="92"/>
      <c r="N106" s="33"/>
      <c r="O106" s="92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5.75" customHeight="1" x14ac:dyDescent="0.15">
      <c r="A107" s="33"/>
      <c r="B107" s="33"/>
      <c r="C107" s="33"/>
      <c r="D107" s="33"/>
      <c r="E107" s="33"/>
      <c r="F107" s="91"/>
      <c r="G107" s="91"/>
      <c r="H107" s="31"/>
      <c r="I107" s="33"/>
      <c r="J107" s="33"/>
      <c r="K107" s="33"/>
      <c r="L107" s="33"/>
      <c r="M107" s="92"/>
      <c r="N107" s="33"/>
      <c r="O107" s="92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5.75" customHeight="1" x14ac:dyDescent="0.15">
      <c r="A108" s="33"/>
      <c r="B108" s="33"/>
      <c r="C108" s="33"/>
      <c r="D108" s="33"/>
      <c r="E108" s="33"/>
      <c r="F108" s="91"/>
      <c r="G108" s="91"/>
      <c r="H108" s="31"/>
      <c r="I108" s="33"/>
      <c r="J108" s="33"/>
      <c r="K108" s="33"/>
      <c r="L108" s="33"/>
      <c r="M108" s="92"/>
      <c r="N108" s="33"/>
      <c r="O108" s="92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5.75" customHeight="1" x14ac:dyDescent="0.15">
      <c r="A109" s="33"/>
      <c r="B109" s="33"/>
      <c r="C109" s="33"/>
      <c r="D109" s="33"/>
      <c r="E109" s="33"/>
      <c r="F109" s="91"/>
      <c r="G109" s="91"/>
      <c r="H109" s="31"/>
      <c r="I109" s="33"/>
      <c r="J109" s="33"/>
      <c r="K109" s="33"/>
      <c r="L109" s="33"/>
      <c r="M109" s="92"/>
      <c r="N109" s="33"/>
      <c r="O109" s="92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5.75" customHeight="1" x14ac:dyDescent="0.15">
      <c r="A110" s="33"/>
      <c r="B110" s="33"/>
      <c r="C110" s="33"/>
      <c r="D110" s="33"/>
      <c r="E110" s="33"/>
      <c r="F110" s="91"/>
      <c r="G110" s="91"/>
      <c r="H110" s="31"/>
      <c r="I110" s="33"/>
      <c r="J110" s="33"/>
      <c r="K110" s="33"/>
      <c r="L110" s="33"/>
      <c r="M110" s="92"/>
      <c r="N110" s="33"/>
      <c r="O110" s="92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5.75" customHeight="1" x14ac:dyDescent="0.15">
      <c r="A111" s="33"/>
      <c r="B111" s="33"/>
      <c r="C111" s="33"/>
      <c r="D111" s="33"/>
      <c r="E111" s="33"/>
      <c r="F111" s="91"/>
      <c r="G111" s="91"/>
      <c r="H111" s="31"/>
      <c r="I111" s="33"/>
      <c r="J111" s="33"/>
      <c r="K111" s="33"/>
      <c r="L111" s="33"/>
      <c r="M111" s="92"/>
      <c r="N111" s="33"/>
      <c r="O111" s="92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5.75" customHeight="1" x14ac:dyDescent="0.15">
      <c r="A112" s="33"/>
      <c r="B112" s="33"/>
      <c r="C112" s="33"/>
      <c r="D112" s="33"/>
      <c r="E112" s="33"/>
      <c r="F112" s="91"/>
      <c r="G112" s="91"/>
      <c r="H112" s="31"/>
      <c r="I112" s="33"/>
      <c r="J112" s="33"/>
      <c r="K112" s="33"/>
      <c r="L112" s="33"/>
      <c r="M112" s="92"/>
      <c r="N112" s="33"/>
      <c r="O112" s="92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5.75" customHeight="1" x14ac:dyDescent="0.15">
      <c r="A113" s="33"/>
      <c r="B113" s="33"/>
      <c r="C113" s="33"/>
      <c r="D113" s="33"/>
      <c r="E113" s="33"/>
      <c r="F113" s="91"/>
      <c r="G113" s="91"/>
      <c r="H113" s="31"/>
      <c r="I113" s="33"/>
      <c r="J113" s="33"/>
      <c r="K113" s="33"/>
      <c r="L113" s="33"/>
      <c r="M113" s="92"/>
      <c r="N113" s="33"/>
      <c r="O113" s="92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15.75" customHeight="1" x14ac:dyDescent="0.15">
      <c r="A114" s="33"/>
      <c r="B114" s="33"/>
      <c r="C114" s="33"/>
      <c r="D114" s="33"/>
      <c r="E114" s="33"/>
      <c r="F114" s="91"/>
      <c r="G114" s="91"/>
      <c r="H114" s="31"/>
      <c r="I114" s="33"/>
      <c r="J114" s="33"/>
      <c r="K114" s="33"/>
      <c r="L114" s="33"/>
      <c r="M114" s="92"/>
      <c r="N114" s="33"/>
      <c r="O114" s="92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ht="15.75" customHeight="1" x14ac:dyDescent="0.15">
      <c r="A115" s="33"/>
      <c r="B115" s="33"/>
      <c r="C115" s="33"/>
      <c r="D115" s="33"/>
      <c r="E115" s="33"/>
      <c r="F115" s="91"/>
      <c r="G115" s="91"/>
      <c r="H115" s="31"/>
      <c r="I115" s="33"/>
      <c r="J115" s="33"/>
      <c r="K115" s="33"/>
      <c r="L115" s="33"/>
      <c r="M115" s="92"/>
      <c r="N115" s="33"/>
      <c r="O115" s="92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ht="15.75" customHeight="1" x14ac:dyDescent="0.15">
      <c r="A116" s="33"/>
      <c r="B116" s="33"/>
      <c r="C116" s="33"/>
      <c r="D116" s="33"/>
      <c r="E116" s="33"/>
      <c r="F116" s="91"/>
      <c r="G116" s="91"/>
      <c r="H116" s="31"/>
      <c r="I116" s="33"/>
      <c r="J116" s="33"/>
      <c r="K116" s="33"/>
      <c r="L116" s="33"/>
      <c r="M116" s="92"/>
      <c r="N116" s="33"/>
      <c r="O116" s="92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ht="15.75" customHeight="1" x14ac:dyDescent="0.15">
      <c r="A117" s="33"/>
      <c r="B117" s="33"/>
      <c r="C117" s="33"/>
      <c r="D117" s="33"/>
      <c r="E117" s="33"/>
      <c r="F117" s="91"/>
      <c r="G117" s="91"/>
      <c r="H117" s="31"/>
      <c r="I117" s="33"/>
      <c r="J117" s="33"/>
      <c r="K117" s="33"/>
      <c r="L117" s="33"/>
      <c r="M117" s="92"/>
      <c r="N117" s="33"/>
      <c r="O117" s="92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ht="15.75" customHeight="1" x14ac:dyDescent="0.15">
      <c r="A118" s="33"/>
      <c r="B118" s="33"/>
      <c r="C118" s="33"/>
      <c r="D118" s="33"/>
      <c r="E118" s="33"/>
      <c r="F118" s="91"/>
      <c r="G118" s="91"/>
      <c r="H118" s="31"/>
      <c r="I118" s="33"/>
      <c r="J118" s="33"/>
      <c r="K118" s="33"/>
      <c r="L118" s="33"/>
      <c r="M118" s="92"/>
      <c r="N118" s="33"/>
      <c r="O118" s="92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ht="15.75" customHeight="1" x14ac:dyDescent="0.15">
      <c r="A119" s="33"/>
      <c r="B119" s="33"/>
      <c r="C119" s="33"/>
      <c r="D119" s="33"/>
      <c r="E119" s="33"/>
      <c r="F119" s="91"/>
      <c r="G119" s="91"/>
      <c r="H119" s="31"/>
      <c r="I119" s="33"/>
      <c r="J119" s="33"/>
      <c r="K119" s="33"/>
      <c r="L119" s="33"/>
      <c r="M119" s="92"/>
      <c r="N119" s="33"/>
      <c r="O119" s="92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ht="15.75" customHeight="1" x14ac:dyDescent="0.15">
      <c r="A120" s="33"/>
      <c r="B120" s="33"/>
      <c r="C120" s="33"/>
      <c r="D120" s="33"/>
      <c r="E120" s="33"/>
      <c r="F120" s="91"/>
      <c r="G120" s="91"/>
      <c r="H120" s="31"/>
      <c r="I120" s="33"/>
      <c r="J120" s="33"/>
      <c r="K120" s="33"/>
      <c r="L120" s="33"/>
      <c r="M120" s="92"/>
      <c r="N120" s="33"/>
      <c r="O120" s="92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ht="15.75" customHeight="1" x14ac:dyDescent="0.15">
      <c r="A121" s="33"/>
      <c r="B121" s="33"/>
      <c r="C121" s="33"/>
      <c r="D121" s="33"/>
      <c r="E121" s="33"/>
      <c r="F121" s="91"/>
      <c r="G121" s="91"/>
      <c r="H121" s="31"/>
      <c r="I121" s="33"/>
      <c r="J121" s="33"/>
      <c r="K121" s="33"/>
      <c r="L121" s="33"/>
      <c r="M121" s="92"/>
      <c r="N121" s="33"/>
      <c r="O121" s="92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ht="15.75" customHeight="1" x14ac:dyDescent="0.15">
      <c r="A122" s="33"/>
      <c r="B122" s="33"/>
      <c r="C122" s="33"/>
      <c r="D122" s="33"/>
      <c r="E122" s="33"/>
      <c r="F122" s="91"/>
      <c r="G122" s="91"/>
      <c r="H122" s="31"/>
      <c r="I122" s="33"/>
      <c r="J122" s="33"/>
      <c r="K122" s="33"/>
      <c r="L122" s="33"/>
      <c r="M122" s="92"/>
      <c r="N122" s="33"/>
      <c r="O122" s="92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ht="15.75" customHeight="1" x14ac:dyDescent="0.15">
      <c r="A123" s="33"/>
      <c r="B123" s="33"/>
      <c r="C123" s="33"/>
      <c r="D123" s="33"/>
      <c r="E123" s="33"/>
      <c r="F123" s="91"/>
      <c r="G123" s="91"/>
      <c r="H123" s="31"/>
      <c r="I123" s="33"/>
      <c r="J123" s="33"/>
      <c r="K123" s="33"/>
      <c r="L123" s="33"/>
      <c r="M123" s="92"/>
      <c r="N123" s="33"/>
      <c r="O123" s="92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ht="15.75" customHeight="1" x14ac:dyDescent="0.15">
      <c r="A124" s="33"/>
      <c r="B124" s="33"/>
      <c r="C124" s="33"/>
      <c r="D124" s="33"/>
      <c r="E124" s="33"/>
      <c r="F124" s="91"/>
      <c r="G124" s="91"/>
      <c r="H124" s="31"/>
      <c r="I124" s="33"/>
      <c r="J124" s="33"/>
      <c r="K124" s="33"/>
      <c r="L124" s="33"/>
      <c r="M124" s="92"/>
      <c r="N124" s="33"/>
      <c r="O124" s="92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ht="15.75" customHeight="1" x14ac:dyDescent="0.15">
      <c r="A125" s="33"/>
      <c r="B125" s="33"/>
      <c r="C125" s="33"/>
      <c r="D125" s="33"/>
      <c r="E125" s="33"/>
      <c r="F125" s="91"/>
      <c r="G125" s="91"/>
      <c r="H125" s="31"/>
      <c r="I125" s="33"/>
      <c r="J125" s="33"/>
      <c r="K125" s="33"/>
      <c r="L125" s="33"/>
      <c r="M125" s="92"/>
      <c r="N125" s="33"/>
      <c r="O125" s="92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15.75" customHeight="1" x14ac:dyDescent="0.15">
      <c r="A126" s="33"/>
      <c r="B126" s="33"/>
      <c r="C126" s="33"/>
      <c r="D126" s="33"/>
      <c r="E126" s="33"/>
      <c r="F126" s="91"/>
      <c r="G126" s="91"/>
      <c r="H126" s="31"/>
      <c r="I126" s="33"/>
      <c r="J126" s="33"/>
      <c r="K126" s="33"/>
      <c r="L126" s="33"/>
      <c r="M126" s="92"/>
      <c r="N126" s="33"/>
      <c r="O126" s="92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ht="15.75" customHeight="1" x14ac:dyDescent="0.15">
      <c r="A127" s="33"/>
      <c r="B127" s="33"/>
      <c r="C127" s="33"/>
      <c r="D127" s="33"/>
      <c r="E127" s="33"/>
      <c r="F127" s="91"/>
      <c r="G127" s="91"/>
      <c r="H127" s="31"/>
      <c r="I127" s="33"/>
      <c r="J127" s="33"/>
      <c r="K127" s="33"/>
      <c r="L127" s="33"/>
      <c r="M127" s="92"/>
      <c r="N127" s="33"/>
      <c r="O127" s="92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ht="15.75" customHeight="1" x14ac:dyDescent="0.15">
      <c r="A128" s="33"/>
      <c r="B128" s="33"/>
      <c r="C128" s="33"/>
      <c r="D128" s="33"/>
      <c r="E128" s="33"/>
      <c r="F128" s="91"/>
      <c r="G128" s="91"/>
      <c r="H128" s="31"/>
      <c r="I128" s="33"/>
      <c r="J128" s="33"/>
      <c r="K128" s="33"/>
      <c r="L128" s="33"/>
      <c r="M128" s="92"/>
      <c r="N128" s="33"/>
      <c r="O128" s="92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5.75" customHeight="1" x14ac:dyDescent="0.15">
      <c r="A129" s="33"/>
      <c r="B129" s="33"/>
      <c r="C129" s="33"/>
      <c r="D129" s="33"/>
      <c r="E129" s="33"/>
      <c r="F129" s="91"/>
      <c r="G129" s="91"/>
      <c r="H129" s="31"/>
      <c r="I129" s="33"/>
      <c r="J129" s="33"/>
      <c r="K129" s="33"/>
      <c r="L129" s="33"/>
      <c r="M129" s="92"/>
      <c r="N129" s="33"/>
      <c r="O129" s="92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15.75" customHeight="1" x14ac:dyDescent="0.15">
      <c r="A130" s="33"/>
      <c r="B130" s="33"/>
      <c r="C130" s="33"/>
      <c r="D130" s="33"/>
      <c r="E130" s="33"/>
      <c r="F130" s="91"/>
      <c r="G130" s="91"/>
      <c r="H130" s="31"/>
      <c r="I130" s="33"/>
      <c r="J130" s="33"/>
      <c r="K130" s="33"/>
      <c r="L130" s="33"/>
      <c r="M130" s="92"/>
      <c r="N130" s="33"/>
      <c r="O130" s="92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5.75" customHeight="1" x14ac:dyDescent="0.15">
      <c r="A131" s="33"/>
      <c r="B131" s="33"/>
      <c r="C131" s="33"/>
      <c r="D131" s="33"/>
      <c r="E131" s="33"/>
      <c r="F131" s="91"/>
      <c r="G131" s="91"/>
      <c r="H131" s="31"/>
      <c r="I131" s="33"/>
      <c r="J131" s="33"/>
      <c r="K131" s="33"/>
      <c r="L131" s="33"/>
      <c r="M131" s="92"/>
      <c r="N131" s="33"/>
      <c r="O131" s="92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ht="15.75" customHeight="1" x14ac:dyDescent="0.15">
      <c r="A132" s="33"/>
      <c r="B132" s="33"/>
      <c r="C132" s="33"/>
      <c r="D132" s="33"/>
      <c r="E132" s="33"/>
      <c r="F132" s="91"/>
      <c r="G132" s="91"/>
      <c r="H132" s="31"/>
      <c r="I132" s="33"/>
      <c r="J132" s="33"/>
      <c r="K132" s="33"/>
      <c r="L132" s="33"/>
      <c r="M132" s="92"/>
      <c r="N132" s="33"/>
      <c r="O132" s="92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ht="15.75" customHeight="1" x14ac:dyDescent="0.15">
      <c r="A133" s="33"/>
      <c r="B133" s="33"/>
      <c r="C133" s="33"/>
      <c r="D133" s="33"/>
      <c r="E133" s="33"/>
      <c r="F133" s="91"/>
      <c r="G133" s="91"/>
      <c r="H133" s="31"/>
      <c r="I133" s="33"/>
      <c r="J133" s="33"/>
      <c r="K133" s="33"/>
      <c r="L133" s="33"/>
      <c r="M133" s="92"/>
      <c r="N133" s="33"/>
      <c r="O133" s="92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ht="15.75" customHeight="1" x14ac:dyDescent="0.15">
      <c r="A134" s="33"/>
      <c r="B134" s="33"/>
      <c r="C134" s="33"/>
      <c r="D134" s="33"/>
      <c r="E134" s="33"/>
      <c r="F134" s="91"/>
      <c r="G134" s="91"/>
      <c r="H134" s="31"/>
      <c r="I134" s="33"/>
      <c r="J134" s="33"/>
      <c r="K134" s="33"/>
      <c r="L134" s="33"/>
      <c r="M134" s="92"/>
      <c r="N134" s="33"/>
      <c r="O134" s="92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ht="15.75" customHeight="1" x14ac:dyDescent="0.15">
      <c r="A135" s="33"/>
      <c r="B135" s="33"/>
      <c r="C135" s="33"/>
      <c r="D135" s="33"/>
      <c r="E135" s="33"/>
      <c r="F135" s="91"/>
      <c r="G135" s="91"/>
      <c r="H135" s="31"/>
      <c r="I135" s="33"/>
      <c r="J135" s="33"/>
      <c r="K135" s="33"/>
      <c r="L135" s="33"/>
      <c r="M135" s="92"/>
      <c r="N135" s="33"/>
      <c r="O135" s="92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ht="15.75" customHeight="1" x14ac:dyDescent="0.15">
      <c r="A136" s="33"/>
      <c r="B136" s="33"/>
      <c r="C136" s="33"/>
      <c r="D136" s="33"/>
      <c r="E136" s="33"/>
      <c r="F136" s="91"/>
      <c r="G136" s="91"/>
      <c r="H136" s="31"/>
      <c r="I136" s="33"/>
      <c r="J136" s="33"/>
      <c r="K136" s="33"/>
      <c r="L136" s="33"/>
      <c r="M136" s="92"/>
      <c r="N136" s="33"/>
      <c r="O136" s="92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ht="15.75" customHeight="1" x14ac:dyDescent="0.15">
      <c r="A137" s="33"/>
      <c r="B137" s="33"/>
      <c r="C137" s="33"/>
      <c r="D137" s="33"/>
      <c r="E137" s="33"/>
      <c r="F137" s="91"/>
      <c r="G137" s="91"/>
      <c r="H137" s="31"/>
      <c r="I137" s="33"/>
      <c r="J137" s="33"/>
      <c r="K137" s="33"/>
      <c r="L137" s="33"/>
      <c r="M137" s="92"/>
      <c r="N137" s="33"/>
      <c r="O137" s="92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ht="15.75" customHeight="1" x14ac:dyDescent="0.15">
      <c r="A138" s="33"/>
      <c r="B138" s="33"/>
      <c r="C138" s="33"/>
      <c r="D138" s="33"/>
      <c r="E138" s="33"/>
      <c r="F138" s="91"/>
      <c r="G138" s="91"/>
      <c r="H138" s="31"/>
      <c r="I138" s="33"/>
      <c r="J138" s="33"/>
      <c r="K138" s="33"/>
      <c r="L138" s="33"/>
      <c r="M138" s="92"/>
      <c r="N138" s="33"/>
      <c r="O138" s="92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ht="15.75" customHeight="1" x14ac:dyDescent="0.15">
      <c r="A139" s="33"/>
      <c r="B139" s="33"/>
      <c r="C139" s="33"/>
      <c r="D139" s="33"/>
      <c r="E139" s="33"/>
      <c r="F139" s="91"/>
      <c r="G139" s="91"/>
      <c r="H139" s="31"/>
      <c r="I139" s="33"/>
      <c r="J139" s="33"/>
      <c r="K139" s="33"/>
      <c r="L139" s="33"/>
      <c r="M139" s="92"/>
      <c r="N139" s="33"/>
      <c r="O139" s="92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ht="15.75" customHeight="1" x14ac:dyDescent="0.15">
      <c r="A140" s="33"/>
      <c r="B140" s="33"/>
      <c r="C140" s="33"/>
      <c r="D140" s="33"/>
      <c r="E140" s="33"/>
      <c r="F140" s="91"/>
      <c r="G140" s="91"/>
      <c r="H140" s="31"/>
      <c r="I140" s="33"/>
      <c r="J140" s="33"/>
      <c r="K140" s="33"/>
      <c r="L140" s="33"/>
      <c r="M140" s="92"/>
      <c r="N140" s="33"/>
      <c r="O140" s="92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ht="15.75" customHeight="1" x14ac:dyDescent="0.15">
      <c r="A141" s="33"/>
      <c r="B141" s="33"/>
      <c r="C141" s="33"/>
      <c r="D141" s="33"/>
      <c r="E141" s="33"/>
      <c r="F141" s="91"/>
      <c r="G141" s="91"/>
      <c r="H141" s="31"/>
      <c r="I141" s="33"/>
      <c r="J141" s="33"/>
      <c r="K141" s="33"/>
      <c r="L141" s="33"/>
      <c r="M141" s="92"/>
      <c r="N141" s="33"/>
      <c r="O141" s="92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ht="15.75" customHeight="1" x14ac:dyDescent="0.15">
      <c r="A142" s="33"/>
      <c r="B142" s="33"/>
      <c r="C142" s="33"/>
      <c r="D142" s="33"/>
      <c r="E142" s="33"/>
      <c r="F142" s="91"/>
      <c r="G142" s="91"/>
      <c r="H142" s="31"/>
      <c r="I142" s="33"/>
      <c r="J142" s="33"/>
      <c r="K142" s="33"/>
      <c r="L142" s="33"/>
      <c r="M142" s="92"/>
      <c r="N142" s="33"/>
      <c r="O142" s="92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ht="15.75" customHeight="1" x14ac:dyDescent="0.15">
      <c r="A143" s="33"/>
      <c r="B143" s="33"/>
      <c r="C143" s="33"/>
      <c r="D143" s="33"/>
      <c r="E143" s="33"/>
      <c r="F143" s="91"/>
      <c r="G143" s="91"/>
      <c r="H143" s="31"/>
      <c r="I143" s="33"/>
      <c r="J143" s="33"/>
      <c r="K143" s="33"/>
      <c r="L143" s="33"/>
      <c r="M143" s="92"/>
      <c r="N143" s="33"/>
      <c r="O143" s="92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ht="15.75" customHeight="1" x14ac:dyDescent="0.15">
      <c r="A144" s="33"/>
      <c r="B144" s="33"/>
      <c r="C144" s="33"/>
      <c r="D144" s="33"/>
      <c r="E144" s="33"/>
      <c r="F144" s="91"/>
      <c r="G144" s="91"/>
      <c r="H144" s="31"/>
      <c r="I144" s="33"/>
      <c r="J144" s="33"/>
      <c r="K144" s="33"/>
      <c r="L144" s="33"/>
      <c r="M144" s="92"/>
      <c r="N144" s="33"/>
      <c r="O144" s="92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ht="15.75" customHeight="1" x14ac:dyDescent="0.15">
      <c r="A145" s="33"/>
      <c r="B145" s="33"/>
      <c r="C145" s="33"/>
      <c r="D145" s="33"/>
      <c r="E145" s="33"/>
      <c r="F145" s="91"/>
      <c r="G145" s="91"/>
      <c r="H145" s="31"/>
      <c r="I145" s="33"/>
      <c r="J145" s="33"/>
      <c r="K145" s="33"/>
      <c r="L145" s="33"/>
      <c r="M145" s="92"/>
      <c r="N145" s="33"/>
      <c r="O145" s="92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ht="15.75" customHeight="1" x14ac:dyDescent="0.15">
      <c r="A146" s="33"/>
      <c r="B146" s="33"/>
      <c r="C146" s="33"/>
      <c r="D146" s="33"/>
      <c r="E146" s="33"/>
      <c r="F146" s="91"/>
      <c r="G146" s="91"/>
      <c r="H146" s="31"/>
      <c r="I146" s="33"/>
      <c r="J146" s="33"/>
      <c r="K146" s="33"/>
      <c r="L146" s="33"/>
      <c r="M146" s="92"/>
      <c r="N146" s="33"/>
      <c r="O146" s="92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ht="15.75" customHeight="1" x14ac:dyDescent="0.15">
      <c r="A147" s="33"/>
      <c r="B147" s="33"/>
      <c r="C147" s="33"/>
      <c r="D147" s="33"/>
      <c r="E147" s="33"/>
      <c r="F147" s="91"/>
      <c r="G147" s="91"/>
      <c r="H147" s="31"/>
      <c r="I147" s="33"/>
      <c r="J147" s="33"/>
      <c r="K147" s="33"/>
      <c r="L147" s="33"/>
      <c r="M147" s="92"/>
      <c r="N147" s="33"/>
      <c r="O147" s="92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ht="15.75" customHeight="1" x14ac:dyDescent="0.15">
      <c r="A148" s="33"/>
      <c r="B148" s="33"/>
      <c r="C148" s="33"/>
      <c r="D148" s="33"/>
      <c r="E148" s="33"/>
      <c r="F148" s="91"/>
      <c r="G148" s="91"/>
      <c r="H148" s="31"/>
      <c r="I148" s="33"/>
      <c r="J148" s="33"/>
      <c r="K148" s="33"/>
      <c r="L148" s="33"/>
      <c r="M148" s="92"/>
      <c r="N148" s="33"/>
      <c r="O148" s="92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ht="15.75" customHeight="1" x14ac:dyDescent="0.15">
      <c r="A149" s="33"/>
      <c r="B149" s="33"/>
      <c r="C149" s="33"/>
      <c r="D149" s="33"/>
      <c r="E149" s="33"/>
      <c r="F149" s="91"/>
      <c r="G149" s="91"/>
      <c r="H149" s="31"/>
      <c r="I149" s="33"/>
      <c r="J149" s="33"/>
      <c r="K149" s="33"/>
      <c r="L149" s="33"/>
      <c r="M149" s="92"/>
      <c r="N149" s="33"/>
      <c r="O149" s="92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ht="15.75" customHeight="1" x14ac:dyDescent="0.15">
      <c r="A150" s="33"/>
      <c r="B150" s="33"/>
      <c r="C150" s="33"/>
      <c r="D150" s="33"/>
      <c r="E150" s="33"/>
      <c r="F150" s="91"/>
      <c r="G150" s="91"/>
      <c r="H150" s="31"/>
      <c r="I150" s="33"/>
      <c r="J150" s="33"/>
      <c r="K150" s="33"/>
      <c r="L150" s="33"/>
      <c r="M150" s="92"/>
      <c r="N150" s="33"/>
      <c r="O150" s="92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ht="15.75" customHeight="1" x14ac:dyDescent="0.15">
      <c r="A151" s="33"/>
      <c r="B151" s="33"/>
      <c r="C151" s="33"/>
      <c r="D151" s="33"/>
      <c r="E151" s="33"/>
      <c r="F151" s="91"/>
      <c r="G151" s="91"/>
      <c r="H151" s="31"/>
      <c r="I151" s="33"/>
      <c r="J151" s="33"/>
      <c r="K151" s="33"/>
      <c r="L151" s="33"/>
      <c r="M151" s="92"/>
      <c r="N151" s="33"/>
      <c r="O151" s="92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ht="15.75" customHeight="1" x14ac:dyDescent="0.15">
      <c r="A152" s="33"/>
      <c r="B152" s="33"/>
      <c r="C152" s="33"/>
      <c r="D152" s="33"/>
      <c r="E152" s="33"/>
      <c r="F152" s="91"/>
      <c r="G152" s="91"/>
      <c r="H152" s="31"/>
      <c r="I152" s="33"/>
      <c r="J152" s="33"/>
      <c r="K152" s="33"/>
      <c r="L152" s="33"/>
      <c r="M152" s="92"/>
      <c r="N152" s="33"/>
      <c r="O152" s="92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ht="15.75" customHeight="1" x14ac:dyDescent="0.15">
      <c r="A153" s="33"/>
      <c r="B153" s="33"/>
      <c r="C153" s="33"/>
      <c r="D153" s="33"/>
      <c r="E153" s="33"/>
      <c r="F153" s="91"/>
      <c r="G153" s="91"/>
      <c r="H153" s="31"/>
      <c r="I153" s="33"/>
      <c r="J153" s="33"/>
      <c r="K153" s="33"/>
      <c r="L153" s="33"/>
      <c r="M153" s="92"/>
      <c r="N153" s="33"/>
      <c r="O153" s="92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ht="15.75" customHeight="1" x14ac:dyDescent="0.15">
      <c r="A154" s="33"/>
      <c r="B154" s="33"/>
      <c r="C154" s="33"/>
      <c r="D154" s="33"/>
      <c r="E154" s="33"/>
      <c r="F154" s="91"/>
      <c r="G154" s="91"/>
      <c r="H154" s="31"/>
      <c r="I154" s="33"/>
      <c r="J154" s="33"/>
      <c r="K154" s="33"/>
      <c r="L154" s="33"/>
      <c r="M154" s="92"/>
      <c r="N154" s="33"/>
      <c r="O154" s="92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ht="15.75" customHeight="1" x14ac:dyDescent="0.15">
      <c r="A155" s="33"/>
      <c r="B155" s="33"/>
      <c r="C155" s="33"/>
      <c r="D155" s="33"/>
      <c r="E155" s="33"/>
      <c r="F155" s="91"/>
      <c r="G155" s="91"/>
      <c r="H155" s="31"/>
      <c r="I155" s="33"/>
      <c r="J155" s="33"/>
      <c r="K155" s="33"/>
      <c r="L155" s="33"/>
      <c r="M155" s="92"/>
      <c r="N155" s="33"/>
      <c r="O155" s="92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ht="15.75" customHeight="1" x14ac:dyDescent="0.15">
      <c r="A156" s="33"/>
      <c r="B156" s="33"/>
      <c r="C156" s="33"/>
      <c r="D156" s="33"/>
      <c r="E156" s="33"/>
      <c r="F156" s="91"/>
      <c r="G156" s="91"/>
      <c r="H156" s="31"/>
      <c r="I156" s="33"/>
      <c r="J156" s="33"/>
      <c r="K156" s="33"/>
      <c r="L156" s="33"/>
      <c r="M156" s="92"/>
      <c r="N156" s="33"/>
      <c r="O156" s="92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ht="15.75" customHeight="1" x14ac:dyDescent="0.15">
      <c r="A157" s="33"/>
      <c r="B157" s="33"/>
      <c r="C157" s="33"/>
      <c r="D157" s="33"/>
      <c r="E157" s="33"/>
      <c r="F157" s="91"/>
      <c r="G157" s="91"/>
      <c r="H157" s="31"/>
      <c r="I157" s="33"/>
      <c r="J157" s="33"/>
      <c r="K157" s="33"/>
      <c r="L157" s="33"/>
      <c r="M157" s="92"/>
      <c r="N157" s="33"/>
      <c r="O157" s="92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ht="15.75" customHeight="1" x14ac:dyDescent="0.15">
      <c r="A158" s="33"/>
      <c r="B158" s="33"/>
      <c r="C158" s="33"/>
      <c r="D158" s="33"/>
      <c r="E158" s="33"/>
      <c r="F158" s="91"/>
      <c r="G158" s="91"/>
      <c r="H158" s="31"/>
      <c r="I158" s="33"/>
      <c r="J158" s="33"/>
      <c r="K158" s="33"/>
      <c r="L158" s="33"/>
      <c r="M158" s="92"/>
      <c r="N158" s="33"/>
      <c r="O158" s="92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ht="15.75" customHeight="1" x14ac:dyDescent="0.15">
      <c r="A159" s="33"/>
      <c r="B159" s="33"/>
      <c r="C159" s="33"/>
      <c r="D159" s="33"/>
      <c r="E159" s="33"/>
      <c r="F159" s="91"/>
      <c r="G159" s="91"/>
      <c r="H159" s="31"/>
      <c r="I159" s="33"/>
      <c r="J159" s="33"/>
      <c r="K159" s="33"/>
      <c r="L159" s="33"/>
      <c r="M159" s="92"/>
      <c r="N159" s="33"/>
      <c r="O159" s="92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ht="15.75" customHeight="1" x14ac:dyDescent="0.15">
      <c r="A160" s="33"/>
      <c r="B160" s="33"/>
      <c r="C160" s="33"/>
      <c r="D160" s="33"/>
      <c r="E160" s="33"/>
      <c r="F160" s="91"/>
      <c r="G160" s="91"/>
      <c r="H160" s="31"/>
      <c r="I160" s="33"/>
      <c r="J160" s="33"/>
      <c r="K160" s="33"/>
      <c r="L160" s="33"/>
      <c r="M160" s="92"/>
      <c r="N160" s="33"/>
      <c r="O160" s="92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ht="15.75" customHeight="1" x14ac:dyDescent="0.15">
      <c r="A161" s="33"/>
      <c r="B161" s="33"/>
      <c r="C161" s="33"/>
      <c r="D161" s="33"/>
      <c r="E161" s="33"/>
      <c r="F161" s="91"/>
      <c r="G161" s="91"/>
      <c r="H161" s="31"/>
      <c r="I161" s="33"/>
      <c r="J161" s="33"/>
      <c r="K161" s="33"/>
      <c r="L161" s="33"/>
      <c r="M161" s="92"/>
      <c r="N161" s="33"/>
      <c r="O161" s="92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ht="15.75" customHeight="1" x14ac:dyDescent="0.15">
      <c r="A162" s="33"/>
      <c r="B162" s="33"/>
      <c r="C162" s="33"/>
      <c r="D162" s="33"/>
      <c r="E162" s="33"/>
      <c r="F162" s="91"/>
      <c r="G162" s="91"/>
      <c r="H162" s="31"/>
      <c r="I162" s="33"/>
      <c r="J162" s="33"/>
      <c r="K162" s="33"/>
      <c r="L162" s="33"/>
      <c r="M162" s="92"/>
      <c r="N162" s="33"/>
      <c r="O162" s="92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ht="15.75" customHeight="1" x14ac:dyDescent="0.15">
      <c r="A163" s="33"/>
      <c r="B163" s="33"/>
      <c r="C163" s="33"/>
      <c r="D163" s="33"/>
      <c r="E163" s="33"/>
      <c r="F163" s="91"/>
      <c r="G163" s="91"/>
      <c r="H163" s="31"/>
      <c r="I163" s="33"/>
      <c r="J163" s="33"/>
      <c r="K163" s="33"/>
      <c r="L163" s="33"/>
      <c r="M163" s="92"/>
      <c r="N163" s="33"/>
      <c r="O163" s="92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ht="15.75" customHeight="1" x14ac:dyDescent="0.15">
      <c r="A164" s="33"/>
      <c r="B164" s="33"/>
      <c r="C164" s="33"/>
      <c r="D164" s="33"/>
      <c r="E164" s="33"/>
      <c r="F164" s="91"/>
      <c r="G164" s="91"/>
      <c r="H164" s="31"/>
      <c r="I164" s="33"/>
      <c r="J164" s="33"/>
      <c r="K164" s="33"/>
      <c r="L164" s="33"/>
      <c r="M164" s="92"/>
      <c r="N164" s="33"/>
      <c r="O164" s="92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ht="15.75" customHeight="1" x14ac:dyDescent="0.15">
      <c r="A165" s="33"/>
      <c r="B165" s="33"/>
      <c r="C165" s="33"/>
      <c r="D165" s="33"/>
      <c r="E165" s="33"/>
      <c r="F165" s="91"/>
      <c r="G165" s="91"/>
      <c r="H165" s="31"/>
      <c r="I165" s="33"/>
      <c r="J165" s="33"/>
      <c r="K165" s="33"/>
      <c r="L165" s="33"/>
      <c r="M165" s="92"/>
      <c r="N165" s="33"/>
      <c r="O165" s="92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ht="15.75" customHeight="1" x14ac:dyDescent="0.15">
      <c r="A166" s="33"/>
      <c r="B166" s="33"/>
      <c r="C166" s="33"/>
      <c r="D166" s="33"/>
      <c r="E166" s="33"/>
      <c r="F166" s="91"/>
      <c r="G166" s="91"/>
      <c r="H166" s="31"/>
      <c r="I166" s="33"/>
      <c r="J166" s="33"/>
      <c r="K166" s="33"/>
      <c r="L166" s="33"/>
      <c r="M166" s="92"/>
      <c r="N166" s="33"/>
      <c r="O166" s="92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ht="15.75" customHeight="1" x14ac:dyDescent="0.15">
      <c r="A167" s="33"/>
      <c r="B167" s="33"/>
      <c r="C167" s="33"/>
      <c r="D167" s="33"/>
      <c r="E167" s="33"/>
      <c r="F167" s="91"/>
      <c r="G167" s="91"/>
      <c r="H167" s="31"/>
      <c r="I167" s="33"/>
      <c r="J167" s="33"/>
      <c r="K167" s="33"/>
      <c r="L167" s="33"/>
      <c r="M167" s="92"/>
      <c r="N167" s="33"/>
      <c r="O167" s="92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ht="15.75" customHeight="1" x14ac:dyDescent="0.15">
      <c r="A168" s="33"/>
      <c r="B168" s="33"/>
      <c r="C168" s="33"/>
      <c r="D168" s="33"/>
      <c r="E168" s="33"/>
      <c r="F168" s="91"/>
      <c r="G168" s="91"/>
      <c r="H168" s="31"/>
      <c r="I168" s="33"/>
      <c r="J168" s="33"/>
      <c r="K168" s="33"/>
      <c r="L168" s="33"/>
      <c r="M168" s="92"/>
      <c r="N168" s="33"/>
      <c r="O168" s="92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15.75" customHeight="1" x14ac:dyDescent="0.15">
      <c r="A169" s="33"/>
      <c r="B169" s="33"/>
      <c r="C169" s="33"/>
      <c r="D169" s="33"/>
      <c r="E169" s="33"/>
      <c r="F169" s="91"/>
      <c r="G169" s="91"/>
      <c r="H169" s="31"/>
      <c r="I169" s="33"/>
      <c r="J169" s="33"/>
      <c r="K169" s="33"/>
      <c r="L169" s="33"/>
      <c r="M169" s="92"/>
      <c r="N169" s="33"/>
      <c r="O169" s="92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ht="15.75" customHeight="1" x14ac:dyDescent="0.15">
      <c r="A170" s="33"/>
      <c r="B170" s="33"/>
      <c r="C170" s="33"/>
      <c r="D170" s="33"/>
      <c r="E170" s="33"/>
      <c r="F170" s="91"/>
      <c r="G170" s="91"/>
      <c r="H170" s="31"/>
      <c r="I170" s="33"/>
      <c r="J170" s="33"/>
      <c r="K170" s="33"/>
      <c r="L170" s="33"/>
      <c r="M170" s="92"/>
      <c r="N170" s="33"/>
      <c r="O170" s="92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ht="15.75" customHeight="1" x14ac:dyDescent="0.15">
      <c r="A171" s="33"/>
      <c r="B171" s="33"/>
      <c r="C171" s="33"/>
      <c r="D171" s="33"/>
      <c r="E171" s="33"/>
      <c r="F171" s="91"/>
      <c r="G171" s="91"/>
      <c r="H171" s="31"/>
      <c r="I171" s="33"/>
      <c r="J171" s="33"/>
      <c r="K171" s="33"/>
      <c r="L171" s="33"/>
      <c r="M171" s="92"/>
      <c r="N171" s="33"/>
      <c r="O171" s="92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15.75" customHeight="1" x14ac:dyDescent="0.15">
      <c r="A172" s="33"/>
      <c r="B172" s="33"/>
      <c r="C172" s="33"/>
      <c r="D172" s="33"/>
      <c r="E172" s="33"/>
      <c r="F172" s="91"/>
      <c r="G172" s="91"/>
      <c r="H172" s="31"/>
      <c r="I172" s="33"/>
      <c r="J172" s="33"/>
      <c r="K172" s="33"/>
      <c r="L172" s="33"/>
      <c r="M172" s="92"/>
      <c r="N172" s="33"/>
      <c r="O172" s="92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ht="15.75" customHeight="1" x14ac:dyDescent="0.15">
      <c r="A173" s="33"/>
      <c r="B173" s="33"/>
      <c r="C173" s="33"/>
      <c r="D173" s="33"/>
      <c r="E173" s="33"/>
      <c r="F173" s="91"/>
      <c r="G173" s="91"/>
      <c r="H173" s="31"/>
      <c r="I173" s="33"/>
      <c r="J173" s="33"/>
      <c r="K173" s="33"/>
      <c r="L173" s="33"/>
      <c r="M173" s="92"/>
      <c r="N173" s="33"/>
      <c r="O173" s="92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ht="15.75" customHeight="1" x14ac:dyDescent="0.15">
      <c r="A174" s="33"/>
      <c r="B174" s="33"/>
      <c r="C174" s="33"/>
      <c r="D174" s="33"/>
      <c r="E174" s="33"/>
      <c r="F174" s="91"/>
      <c r="G174" s="91"/>
      <c r="H174" s="31"/>
      <c r="I174" s="33"/>
      <c r="J174" s="33"/>
      <c r="K174" s="33"/>
      <c r="L174" s="33"/>
      <c r="M174" s="92"/>
      <c r="N174" s="33"/>
      <c r="O174" s="92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ht="15.75" customHeight="1" x14ac:dyDescent="0.15">
      <c r="A175" s="33"/>
      <c r="B175" s="33"/>
      <c r="C175" s="33"/>
      <c r="D175" s="33"/>
      <c r="E175" s="33"/>
      <c r="F175" s="91"/>
      <c r="G175" s="91"/>
      <c r="H175" s="31"/>
      <c r="I175" s="33"/>
      <c r="J175" s="33"/>
      <c r="K175" s="33"/>
      <c r="L175" s="33"/>
      <c r="M175" s="92"/>
      <c r="N175" s="33"/>
      <c r="O175" s="92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ht="15.75" customHeight="1" x14ac:dyDescent="0.15">
      <c r="A176" s="33"/>
      <c r="B176" s="33"/>
      <c r="C176" s="33"/>
      <c r="D176" s="33"/>
      <c r="E176" s="33"/>
      <c r="F176" s="91"/>
      <c r="G176" s="91"/>
      <c r="H176" s="31"/>
      <c r="I176" s="33"/>
      <c r="J176" s="33"/>
      <c r="K176" s="33"/>
      <c r="L176" s="33"/>
      <c r="M176" s="92"/>
      <c r="N176" s="33"/>
      <c r="O176" s="92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ht="15.75" customHeight="1" x14ac:dyDescent="0.15">
      <c r="A177" s="33"/>
      <c r="B177" s="33"/>
      <c r="C177" s="33"/>
      <c r="D177" s="33"/>
      <c r="E177" s="33"/>
      <c r="F177" s="91"/>
      <c r="G177" s="91"/>
      <c r="H177" s="31"/>
      <c r="I177" s="33"/>
      <c r="J177" s="33"/>
      <c r="K177" s="33"/>
      <c r="L177" s="33"/>
      <c r="M177" s="92"/>
      <c r="N177" s="33"/>
      <c r="O177" s="92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ht="15.75" customHeight="1" x14ac:dyDescent="0.15">
      <c r="A178" s="33"/>
      <c r="B178" s="33"/>
      <c r="C178" s="33"/>
      <c r="D178" s="33"/>
      <c r="E178" s="33"/>
      <c r="F178" s="91"/>
      <c r="G178" s="91"/>
      <c r="H178" s="31"/>
      <c r="I178" s="33"/>
      <c r="J178" s="33"/>
      <c r="K178" s="33"/>
      <c r="L178" s="33"/>
      <c r="M178" s="92"/>
      <c r="N178" s="33"/>
      <c r="O178" s="92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ht="15.75" customHeight="1" x14ac:dyDescent="0.15">
      <c r="A179" s="33"/>
      <c r="B179" s="33"/>
      <c r="C179" s="33"/>
      <c r="D179" s="33"/>
      <c r="E179" s="33"/>
      <c r="F179" s="91"/>
      <c r="G179" s="91"/>
      <c r="H179" s="31"/>
      <c r="I179" s="33"/>
      <c r="J179" s="33"/>
      <c r="K179" s="33"/>
      <c r="L179" s="33"/>
      <c r="M179" s="92"/>
      <c r="N179" s="33"/>
      <c r="O179" s="92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ht="15.75" customHeight="1" x14ac:dyDescent="0.15">
      <c r="A180" s="33"/>
      <c r="B180" s="33"/>
      <c r="C180" s="33"/>
      <c r="D180" s="33"/>
      <c r="E180" s="33"/>
      <c r="F180" s="91"/>
      <c r="G180" s="91"/>
      <c r="H180" s="31"/>
      <c r="I180" s="33"/>
      <c r="J180" s="33"/>
      <c r="K180" s="33"/>
      <c r="L180" s="33"/>
      <c r="M180" s="92"/>
      <c r="N180" s="33"/>
      <c r="O180" s="92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ht="15.75" customHeight="1" x14ac:dyDescent="0.15">
      <c r="A181" s="33"/>
      <c r="B181" s="33"/>
      <c r="C181" s="33"/>
      <c r="D181" s="33"/>
      <c r="E181" s="33"/>
      <c r="F181" s="91"/>
      <c r="G181" s="91"/>
      <c r="H181" s="31"/>
      <c r="I181" s="33"/>
      <c r="J181" s="33"/>
      <c r="K181" s="33"/>
      <c r="L181" s="33"/>
      <c r="M181" s="92"/>
      <c r="N181" s="33"/>
      <c r="O181" s="92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ht="15.75" customHeight="1" x14ac:dyDescent="0.15">
      <c r="A182" s="33"/>
      <c r="B182" s="33"/>
      <c r="C182" s="33"/>
      <c r="D182" s="33"/>
      <c r="E182" s="33"/>
      <c r="F182" s="91"/>
      <c r="G182" s="91"/>
      <c r="H182" s="31"/>
      <c r="I182" s="33"/>
      <c r="J182" s="33"/>
      <c r="K182" s="33"/>
      <c r="L182" s="33"/>
      <c r="M182" s="92"/>
      <c r="N182" s="33"/>
      <c r="O182" s="92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ht="15.75" customHeight="1" x14ac:dyDescent="0.15">
      <c r="A183" s="33"/>
      <c r="B183" s="33"/>
      <c r="C183" s="33"/>
      <c r="D183" s="33"/>
      <c r="E183" s="33"/>
      <c r="F183" s="91"/>
      <c r="G183" s="91"/>
      <c r="H183" s="31"/>
      <c r="I183" s="33"/>
      <c r="J183" s="33"/>
      <c r="K183" s="33"/>
      <c r="L183" s="33"/>
      <c r="M183" s="92"/>
      <c r="N183" s="33"/>
      <c r="O183" s="92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ht="15.75" customHeight="1" x14ac:dyDescent="0.15">
      <c r="A184" s="33"/>
      <c r="B184" s="33"/>
      <c r="C184" s="33"/>
      <c r="D184" s="33"/>
      <c r="E184" s="33"/>
      <c r="F184" s="91"/>
      <c r="G184" s="91"/>
      <c r="H184" s="31"/>
      <c r="I184" s="33"/>
      <c r="J184" s="33"/>
      <c r="K184" s="33"/>
      <c r="L184" s="33"/>
      <c r="M184" s="92"/>
      <c r="N184" s="33"/>
      <c r="O184" s="92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ht="15.75" customHeight="1" x14ac:dyDescent="0.15">
      <c r="A185" s="33"/>
      <c r="B185" s="33"/>
      <c r="C185" s="33"/>
      <c r="D185" s="33"/>
      <c r="E185" s="33"/>
      <c r="F185" s="91"/>
      <c r="G185" s="91"/>
      <c r="H185" s="31"/>
      <c r="I185" s="33"/>
      <c r="J185" s="33"/>
      <c r="K185" s="33"/>
      <c r="L185" s="33"/>
      <c r="M185" s="92"/>
      <c r="N185" s="33"/>
      <c r="O185" s="92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ht="15.75" customHeight="1" x14ac:dyDescent="0.15">
      <c r="A186" s="33"/>
      <c r="B186" s="33"/>
      <c r="C186" s="33"/>
      <c r="D186" s="33"/>
      <c r="E186" s="33"/>
      <c r="F186" s="91"/>
      <c r="G186" s="91"/>
      <c r="H186" s="31"/>
      <c r="I186" s="33"/>
      <c r="J186" s="33"/>
      <c r="K186" s="33"/>
      <c r="L186" s="33"/>
      <c r="M186" s="92"/>
      <c r="N186" s="33"/>
      <c r="O186" s="92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ht="15.75" customHeight="1" x14ac:dyDescent="0.15">
      <c r="A187" s="33"/>
      <c r="B187" s="33"/>
      <c r="C187" s="33"/>
      <c r="D187" s="33"/>
      <c r="E187" s="33"/>
      <c r="F187" s="91"/>
      <c r="G187" s="91"/>
      <c r="H187" s="31"/>
      <c r="I187" s="33"/>
      <c r="J187" s="33"/>
      <c r="K187" s="33"/>
      <c r="L187" s="33"/>
      <c r="M187" s="92"/>
      <c r="N187" s="33"/>
      <c r="O187" s="92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ht="15.75" customHeight="1" x14ac:dyDescent="0.15">
      <c r="A188" s="33"/>
      <c r="B188" s="33"/>
      <c r="C188" s="33"/>
      <c r="D188" s="33"/>
      <c r="E188" s="33"/>
      <c r="F188" s="91"/>
      <c r="G188" s="91"/>
      <c r="H188" s="31"/>
      <c r="I188" s="33"/>
      <c r="J188" s="33"/>
      <c r="K188" s="33"/>
      <c r="L188" s="33"/>
      <c r="M188" s="92"/>
      <c r="N188" s="33"/>
      <c r="O188" s="92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ht="15.75" customHeight="1" x14ac:dyDescent="0.15">
      <c r="A189" s="33"/>
      <c r="B189" s="33"/>
      <c r="C189" s="33"/>
      <c r="D189" s="33"/>
      <c r="E189" s="33"/>
      <c r="F189" s="91"/>
      <c r="G189" s="91"/>
      <c r="H189" s="31"/>
      <c r="I189" s="33"/>
      <c r="J189" s="33"/>
      <c r="K189" s="33"/>
      <c r="L189" s="33"/>
      <c r="M189" s="92"/>
      <c r="N189" s="33"/>
      <c r="O189" s="92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ht="15.75" customHeight="1" x14ac:dyDescent="0.15">
      <c r="A190" s="33"/>
      <c r="B190" s="33"/>
      <c r="C190" s="33"/>
      <c r="D190" s="33"/>
      <c r="E190" s="33"/>
      <c r="F190" s="91"/>
      <c r="G190" s="91"/>
      <c r="H190" s="31"/>
      <c r="I190" s="33"/>
      <c r="J190" s="33"/>
      <c r="K190" s="33"/>
      <c r="L190" s="33"/>
      <c r="M190" s="92"/>
      <c r="N190" s="33"/>
      <c r="O190" s="92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ht="15.75" customHeight="1" x14ac:dyDescent="0.15">
      <c r="A191" s="33"/>
      <c r="B191" s="33"/>
      <c r="C191" s="33"/>
      <c r="D191" s="33"/>
      <c r="E191" s="33"/>
      <c r="F191" s="91"/>
      <c r="G191" s="91"/>
      <c r="H191" s="31"/>
      <c r="I191" s="33"/>
      <c r="J191" s="33"/>
      <c r="K191" s="33"/>
      <c r="L191" s="33"/>
      <c r="M191" s="92"/>
      <c r="N191" s="33"/>
      <c r="O191" s="92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ht="15.75" customHeight="1" x14ac:dyDescent="0.15">
      <c r="A192" s="33"/>
      <c r="B192" s="33"/>
      <c r="C192" s="33"/>
      <c r="D192" s="33"/>
      <c r="E192" s="33"/>
      <c r="F192" s="91"/>
      <c r="G192" s="91"/>
      <c r="H192" s="31"/>
      <c r="I192" s="33"/>
      <c r="J192" s="33"/>
      <c r="K192" s="33"/>
      <c r="L192" s="33"/>
      <c r="M192" s="92"/>
      <c r="N192" s="33"/>
      <c r="O192" s="92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ht="15.75" customHeight="1" x14ac:dyDescent="0.15">
      <c r="A193" s="33"/>
      <c r="B193" s="33"/>
      <c r="C193" s="33"/>
      <c r="D193" s="33"/>
      <c r="E193" s="33"/>
      <c r="F193" s="91"/>
      <c r="G193" s="91"/>
      <c r="H193" s="31"/>
      <c r="I193" s="33"/>
      <c r="J193" s="33"/>
      <c r="K193" s="33"/>
      <c r="L193" s="33"/>
      <c r="M193" s="92"/>
      <c r="N193" s="33"/>
      <c r="O193" s="92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ht="15.75" customHeight="1" x14ac:dyDescent="0.15">
      <c r="A194" s="33"/>
      <c r="B194" s="33"/>
      <c r="C194" s="33"/>
      <c r="D194" s="33"/>
      <c r="E194" s="33"/>
      <c r="F194" s="91"/>
      <c r="G194" s="91"/>
      <c r="H194" s="31"/>
      <c r="I194" s="33"/>
      <c r="J194" s="33"/>
      <c r="K194" s="33"/>
      <c r="L194" s="33"/>
      <c r="M194" s="92"/>
      <c r="N194" s="33"/>
      <c r="O194" s="92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ht="15.75" customHeight="1" x14ac:dyDescent="0.15">
      <c r="A195" s="33"/>
      <c r="B195" s="33"/>
      <c r="C195" s="33"/>
      <c r="D195" s="33"/>
      <c r="E195" s="33"/>
      <c r="F195" s="91"/>
      <c r="G195" s="91"/>
      <c r="H195" s="31"/>
      <c r="I195" s="33"/>
      <c r="J195" s="33"/>
      <c r="K195" s="33"/>
      <c r="L195" s="33"/>
      <c r="M195" s="92"/>
      <c r="N195" s="33"/>
      <c r="O195" s="92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ht="15.75" customHeight="1" x14ac:dyDescent="0.15">
      <c r="A196" s="33"/>
      <c r="B196" s="33"/>
      <c r="C196" s="33"/>
      <c r="D196" s="33"/>
      <c r="E196" s="33"/>
      <c r="F196" s="91"/>
      <c r="G196" s="91"/>
      <c r="H196" s="31"/>
      <c r="I196" s="33"/>
      <c r="J196" s="33"/>
      <c r="K196" s="33"/>
      <c r="L196" s="33"/>
      <c r="M196" s="92"/>
      <c r="N196" s="33"/>
      <c r="O196" s="92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ht="15.75" customHeight="1" x14ac:dyDescent="0.15">
      <c r="A197" s="33"/>
      <c r="B197" s="33"/>
      <c r="C197" s="33"/>
      <c r="D197" s="33"/>
      <c r="E197" s="33"/>
      <c r="F197" s="91"/>
      <c r="G197" s="91"/>
      <c r="H197" s="31"/>
      <c r="I197" s="33"/>
      <c r="J197" s="33"/>
      <c r="K197" s="33"/>
      <c r="L197" s="33"/>
      <c r="M197" s="92"/>
      <c r="N197" s="33"/>
      <c r="O197" s="92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ht="15.75" customHeight="1" x14ac:dyDescent="0.15">
      <c r="A198" s="33"/>
      <c r="B198" s="33"/>
      <c r="C198" s="33"/>
      <c r="D198" s="33"/>
      <c r="E198" s="33"/>
      <c r="F198" s="91"/>
      <c r="G198" s="91"/>
      <c r="H198" s="31"/>
      <c r="I198" s="33"/>
      <c r="J198" s="33"/>
      <c r="K198" s="33"/>
      <c r="L198" s="33"/>
      <c r="M198" s="92"/>
      <c r="N198" s="33"/>
      <c r="O198" s="92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ht="15.75" customHeight="1" x14ac:dyDescent="0.15">
      <c r="A199" s="33"/>
      <c r="B199" s="33"/>
      <c r="C199" s="33"/>
      <c r="D199" s="33"/>
      <c r="E199" s="33"/>
      <c r="F199" s="91"/>
      <c r="G199" s="91"/>
      <c r="H199" s="31"/>
      <c r="I199" s="33"/>
      <c r="J199" s="33"/>
      <c r="K199" s="33"/>
      <c r="L199" s="33"/>
      <c r="M199" s="92"/>
      <c r="N199" s="33"/>
      <c r="O199" s="92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ht="15.75" customHeight="1" x14ac:dyDescent="0.15">
      <c r="A200" s="33"/>
      <c r="B200" s="33"/>
      <c r="C200" s="33"/>
      <c r="D200" s="33"/>
      <c r="E200" s="33"/>
      <c r="F200" s="91"/>
      <c r="G200" s="91"/>
      <c r="H200" s="31"/>
      <c r="I200" s="33"/>
      <c r="J200" s="33"/>
      <c r="K200" s="33"/>
      <c r="L200" s="33"/>
      <c r="M200" s="92"/>
      <c r="N200" s="33"/>
      <c r="O200" s="92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ht="15.75" customHeight="1" x14ac:dyDescent="0.15">
      <c r="A201" s="33"/>
      <c r="B201" s="33"/>
      <c r="C201" s="33"/>
      <c r="D201" s="33"/>
      <c r="E201" s="33"/>
      <c r="F201" s="91"/>
      <c r="G201" s="91"/>
      <c r="H201" s="31"/>
      <c r="I201" s="33"/>
      <c r="J201" s="33"/>
      <c r="K201" s="33"/>
      <c r="L201" s="33"/>
      <c r="M201" s="92"/>
      <c r="N201" s="33"/>
      <c r="O201" s="92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ht="15.75" customHeight="1" x14ac:dyDescent="0.15">
      <c r="A202" s="33"/>
      <c r="B202" s="33"/>
      <c r="C202" s="33"/>
      <c r="D202" s="33"/>
      <c r="E202" s="33"/>
      <c r="F202" s="91"/>
      <c r="G202" s="91"/>
      <c r="H202" s="31"/>
      <c r="I202" s="33"/>
      <c r="J202" s="33"/>
      <c r="K202" s="33"/>
      <c r="L202" s="33"/>
      <c r="M202" s="92"/>
      <c r="N202" s="33"/>
      <c r="O202" s="92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ht="15.75" customHeight="1" x14ac:dyDescent="0.15">
      <c r="A203" s="33"/>
      <c r="B203" s="33"/>
      <c r="C203" s="33"/>
      <c r="D203" s="33"/>
      <c r="E203" s="33"/>
      <c r="F203" s="91"/>
      <c r="G203" s="91"/>
      <c r="H203" s="31"/>
      <c r="I203" s="33"/>
      <c r="J203" s="33"/>
      <c r="K203" s="33"/>
      <c r="L203" s="33"/>
      <c r="M203" s="92"/>
      <c r="N203" s="33"/>
      <c r="O203" s="92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ht="15.75" customHeight="1" x14ac:dyDescent="0.15">
      <c r="A204" s="33"/>
      <c r="B204" s="33"/>
      <c r="C204" s="33"/>
      <c r="D204" s="33"/>
      <c r="E204" s="33"/>
      <c r="F204" s="91"/>
      <c r="G204" s="91"/>
      <c r="H204" s="31"/>
      <c r="I204" s="33"/>
      <c r="J204" s="33"/>
      <c r="K204" s="33"/>
      <c r="L204" s="33"/>
      <c r="M204" s="92"/>
      <c r="N204" s="33"/>
      <c r="O204" s="92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ht="15.75" customHeight="1" x14ac:dyDescent="0.15">
      <c r="A205" s="33"/>
      <c r="B205" s="33"/>
      <c r="C205" s="33"/>
      <c r="D205" s="33"/>
      <c r="E205" s="33"/>
      <c r="F205" s="91"/>
      <c r="G205" s="91"/>
      <c r="H205" s="31"/>
      <c r="I205" s="33"/>
      <c r="J205" s="33"/>
      <c r="K205" s="33"/>
      <c r="L205" s="33"/>
      <c r="M205" s="92"/>
      <c r="N205" s="33"/>
      <c r="O205" s="92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ht="15.75" customHeight="1" x14ac:dyDescent="0.15">
      <c r="A206" s="33"/>
      <c r="B206" s="33"/>
      <c r="C206" s="33"/>
      <c r="D206" s="33"/>
      <c r="E206" s="33"/>
      <c r="F206" s="91"/>
      <c r="G206" s="91"/>
      <c r="H206" s="31"/>
      <c r="I206" s="33"/>
      <c r="J206" s="33"/>
      <c r="K206" s="33"/>
      <c r="L206" s="33"/>
      <c r="M206" s="92"/>
      <c r="N206" s="33"/>
      <c r="O206" s="92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ht="15.75" customHeight="1" x14ac:dyDescent="0.15">
      <c r="A207" s="33"/>
      <c r="B207" s="33"/>
      <c r="C207" s="33"/>
      <c r="D207" s="33"/>
      <c r="E207" s="33"/>
      <c r="F207" s="91"/>
      <c r="G207" s="91"/>
      <c r="H207" s="31"/>
      <c r="I207" s="33"/>
      <c r="J207" s="33"/>
      <c r="K207" s="33"/>
      <c r="L207" s="33"/>
      <c r="M207" s="92"/>
      <c r="N207" s="33"/>
      <c r="O207" s="92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ht="15.75" customHeight="1" x14ac:dyDescent="0.15">
      <c r="A208" s="33"/>
      <c r="B208" s="33"/>
      <c r="C208" s="33"/>
      <c r="D208" s="33"/>
      <c r="E208" s="33"/>
      <c r="F208" s="91"/>
      <c r="G208" s="91"/>
      <c r="H208" s="31"/>
      <c r="I208" s="33"/>
      <c r="J208" s="33"/>
      <c r="K208" s="33"/>
      <c r="L208" s="33"/>
      <c r="M208" s="92"/>
      <c r="N208" s="33"/>
      <c r="O208" s="92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ht="15.75" customHeight="1" x14ac:dyDescent="0.15">
      <c r="A209" s="33"/>
      <c r="B209" s="33"/>
      <c r="C209" s="33"/>
      <c r="D209" s="33"/>
      <c r="E209" s="33"/>
      <c r="F209" s="91"/>
      <c r="G209" s="91"/>
      <c r="H209" s="31"/>
      <c r="I209" s="33"/>
      <c r="J209" s="33"/>
      <c r="K209" s="33"/>
      <c r="L209" s="33"/>
      <c r="M209" s="92"/>
      <c r="N209" s="33"/>
      <c r="O209" s="92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ht="15.75" customHeight="1" x14ac:dyDescent="0.15">
      <c r="A210" s="33"/>
      <c r="B210" s="33"/>
      <c r="C210" s="33"/>
      <c r="D210" s="33"/>
      <c r="E210" s="33"/>
      <c r="F210" s="91"/>
      <c r="G210" s="91"/>
      <c r="H210" s="31"/>
      <c r="I210" s="33"/>
      <c r="J210" s="33"/>
      <c r="K210" s="33"/>
      <c r="L210" s="33"/>
      <c r="M210" s="92"/>
      <c r="N210" s="33"/>
      <c r="O210" s="92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5.75" customHeight="1" x14ac:dyDescent="0.15">
      <c r="A211" s="33"/>
      <c r="B211" s="33"/>
      <c r="C211" s="33"/>
      <c r="D211" s="33"/>
      <c r="E211" s="33"/>
      <c r="F211" s="91"/>
      <c r="G211" s="91"/>
      <c r="H211" s="31"/>
      <c r="I211" s="33"/>
      <c r="J211" s="33"/>
      <c r="K211" s="33"/>
      <c r="L211" s="33"/>
      <c r="M211" s="92"/>
      <c r="N211" s="33"/>
      <c r="O211" s="92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ht="15.75" customHeight="1" x14ac:dyDescent="0.15">
      <c r="A212" s="33"/>
      <c r="B212" s="33"/>
      <c r="C212" s="33"/>
      <c r="D212" s="33"/>
      <c r="E212" s="33"/>
      <c r="F212" s="91"/>
      <c r="G212" s="91"/>
      <c r="H212" s="31"/>
      <c r="I212" s="33"/>
      <c r="J212" s="33"/>
      <c r="K212" s="33"/>
      <c r="L212" s="33"/>
      <c r="M212" s="92"/>
      <c r="N212" s="33"/>
      <c r="O212" s="92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ht="15.75" customHeight="1" x14ac:dyDescent="0.15">
      <c r="A213" s="33"/>
      <c r="B213" s="33"/>
      <c r="C213" s="33"/>
      <c r="D213" s="33"/>
      <c r="E213" s="33"/>
      <c r="F213" s="91"/>
      <c r="G213" s="91"/>
      <c r="H213" s="31"/>
      <c r="I213" s="33"/>
      <c r="J213" s="33"/>
      <c r="K213" s="33"/>
      <c r="L213" s="33"/>
      <c r="M213" s="92"/>
      <c r="N213" s="33"/>
      <c r="O213" s="92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ht="15.75" customHeight="1" x14ac:dyDescent="0.15">
      <c r="A214" s="33"/>
      <c r="B214" s="33"/>
      <c r="C214" s="33"/>
      <c r="D214" s="33"/>
      <c r="E214" s="33"/>
      <c r="F214" s="91"/>
      <c r="G214" s="91"/>
      <c r="H214" s="31"/>
      <c r="I214" s="33"/>
      <c r="J214" s="33"/>
      <c r="K214" s="33"/>
      <c r="L214" s="33"/>
      <c r="M214" s="92"/>
      <c r="N214" s="33"/>
      <c r="O214" s="92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ht="15.75" customHeight="1" x14ac:dyDescent="0.15">
      <c r="A215" s="33"/>
      <c r="B215" s="33"/>
      <c r="C215" s="33"/>
      <c r="D215" s="33"/>
      <c r="E215" s="33"/>
      <c r="F215" s="91"/>
      <c r="G215" s="91"/>
      <c r="H215" s="31"/>
      <c r="I215" s="33"/>
      <c r="J215" s="33"/>
      <c r="K215" s="33"/>
      <c r="L215" s="33"/>
      <c r="M215" s="92"/>
      <c r="N215" s="33"/>
      <c r="O215" s="92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ht="15.75" customHeight="1" x14ac:dyDescent="0.15">
      <c r="A216" s="33"/>
      <c r="B216" s="33"/>
      <c r="C216" s="33"/>
      <c r="D216" s="33"/>
      <c r="E216" s="33"/>
      <c r="F216" s="91"/>
      <c r="G216" s="91"/>
      <c r="H216" s="31"/>
      <c r="I216" s="33"/>
      <c r="J216" s="33"/>
      <c r="K216" s="33"/>
      <c r="L216" s="33"/>
      <c r="M216" s="92"/>
      <c r="N216" s="33"/>
      <c r="O216" s="92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ht="15.75" customHeight="1" x14ac:dyDescent="0.15">
      <c r="A217" s="33"/>
      <c r="B217" s="33"/>
      <c r="C217" s="33"/>
      <c r="D217" s="33"/>
      <c r="E217" s="33"/>
      <c r="F217" s="91"/>
      <c r="G217" s="91"/>
      <c r="H217" s="31"/>
      <c r="I217" s="33"/>
      <c r="J217" s="33"/>
      <c r="K217" s="33"/>
      <c r="L217" s="33"/>
      <c r="M217" s="92"/>
      <c r="N217" s="33"/>
      <c r="O217" s="92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ht="15.75" customHeight="1" x14ac:dyDescent="0.15">
      <c r="A218" s="33"/>
      <c r="B218" s="33"/>
      <c r="C218" s="33"/>
      <c r="D218" s="33"/>
      <c r="E218" s="33"/>
      <c r="F218" s="91"/>
      <c r="G218" s="91"/>
      <c r="H218" s="31"/>
      <c r="I218" s="33"/>
      <c r="J218" s="33"/>
      <c r="K218" s="33"/>
      <c r="L218" s="33"/>
      <c r="M218" s="92"/>
      <c r="N218" s="33"/>
      <c r="O218" s="92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ht="15.75" customHeight="1" x14ac:dyDescent="0.15">
      <c r="A219" s="33"/>
      <c r="B219" s="33"/>
      <c r="C219" s="33"/>
      <c r="D219" s="33"/>
      <c r="E219" s="33"/>
      <c r="F219" s="91"/>
      <c r="G219" s="91"/>
      <c r="H219" s="31"/>
      <c r="I219" s="33"/>
      <c r="J219" s="33"/>
      <c r="K219" s="33"/>
      <c r="L219" s="33"/>
      <c r="M219" s="92"/>
      <c r="N219" s="33"/>
      <c r="O219" s="92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ht="15.75" customHeight="1" x14ac:dyDescent="0.15">
      <c r="A220" s="33"/>
      <c r="B220" s="33"/>
      <c r="C220" s="33"/>
      <c r="D220" s="33"/>
      <c r="E220" s="33"/>
      <c r="F220" s="91"/>
      <c r="G220" s="91"/>
      <c r="H220" s="31"/>
      <c r="I220" s="33"/>
      <c r="J220" s="33"/>
      <c r="K220" s="33"/>
      <c r="L220" s="33"/>
      <c r="M220" s="92"/>
      <c r="N220" s="33"/>
      <c r="O220" s="92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ht="15.75" customHeight="1" x14ac:dyDescent="0.15">
      <c r="A221" s="33"/>
      <c r="B221" s="33"/>
      <c r="C221" s="33"/>
      <c r="D221" s="33"/>
      <c r="E221" s="33"/>
      <c r="F221" s="91"/>
      <c r="G221" s="91"/>
      <c r="H221" s="31"/>
      <c r="I221" s="33"/>
      <c r="J221" s="33"/>
      <c r="K221" s="33"/>
      <c r="L221" s="33"/>
      <c r="M221" s="92"/>
      <c r="N221" s="33"/>
      <c r="O221" s="92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ht="15.75" customHeight="1" x14ac:dyDescent="0.15">
      <c r="A222" s="33"/>
      <c r="B222" s="33"/>
      <c r="C222" s="33"/>
      <c r="D222" s="33"/>
      <c r="E222" s="33"/>
      <c r="F222" s="91"/>
      <c r="G222" s="91"/>
      <c r="H222" s="31"/>
      <c r="I222" s="33"/>
      <c r="J222" s="33"/>
      <c r="K222" s="33"/>
      <c r="L222" s="33"/>
      <c r="M222" s="92"/>
      <c r="N222" s="33"/>
      <c r="O222" s="92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ht="15.75" customHeight="1" x14ac:dyDescent="0.15">
      <c r="A223" s="33"/>
      <c r="B223" s="33"/>
      <c r="C223" s="33"/>
      <c r="D223" s="33"/>
      <c r="E223" s="33"/>
      <c r="F223" s="91"/>
      <c r="G223" s="91"/>
      <c r="H223" s="31"/>
      <c r="I223" s="33"/>
      <c r="J223" s="33"/>
      <c r="K223" s="33"/>
      <c r="L223" s="33"/>
      <c r="M223" s="92"/>
      <c r="N223" s="33"/>
      <c r="O223" s="92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ht="15.75" customHeight="1" x14ac:dyDescent="0.15">
      <c r="A224" s="33"/>
      <c r="B224" s="33"/>
      <c r="C224" s="33"/>
      <c r="D224" s="33"/>
      <c r="E224" s="33"/>
      <c r="F224" s="91"/>
      <c r="G224" s="91"/>
      <c r="H224" s="31"/>
      <c r="I224" s="33"/>
      <c r="J224" s="33"/>
      <c r="K224" s="33"/>
      <c r="L224" s="33"/>
      <c r="M224" s="92"/>
      <c r="N224" s="33"/>
      <c r="O224" s="92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ht="15.75" customHeight="1" x14ac:dyDescent="0.15">
      <c r="A225" s="33"/>
      <c r="B225" s="33"/>
      <c r="C225" s="33"/>
      <c r="D225" s="33"/>
      <c r="E225" s="33"/>
      <c r="F225" s="91"/>
      <c r="G225" s="91"/>
      <c r="H225" s="31"/>
      <c r="I225" s="33"/>
      <c r="J225" s="33"/>
      <c r="K225" s="33"/>
      <c r="L225" s="33"/>
      <c r="M225" s="92"/>
      <c r="N225" s="33"/>
      <c r="O225" s="92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ht="15.75" customHeight="1" x14ac:dyDescent="0.15">
      <c r="A226" s="33"/>
      <c r="B226" s="33"/>
      <c r="C226" s="33"/>
      <c r="D226" s="33"/>
      <c r="E226" s="33"/>
      <c r="F226" s="91"/>
      <c r="G226" s="91"/>
      <c r="H226" s="31"/>
      <c r="I226" s="33"/>
      <c r="J226" s="33"/>
      <c r="K226" s="33"/>
      <c r="L226" s="33"/>
      <c r="M226" s="92"/>
      <c r="N226" s="33"/>
      <c r="O226" s="92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ht="15.75" customHeight="1" x14ac:dyDescent="0.15">
      <c r="A227" s="33"/>
      <c r="B227" s="33"/>
      <c r="C227" s="33"/>
      <c r="D227" s="33"/>
      <c r="E227" s="33"/>
      <c r="F227" s="91"/>
      <c r="G227" s="91"/>
      <c r="H227" s="31"/>
      <c r="I227" s="33"/>
      <c r="J227" s="33"/>
      <c r="K227" s="33"/>
      <c r="L227" s="33"/>
      <c r="M227" s="92"/>
      <c r="N227" s="33"/>
      <c r="O227" s="92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ht="15.75" customHeight="1" x14ac:dyDescent="0.15">
      <c r="A228" s="33"/>
      <c r="B228" s="33"/>
      <c r="C228" s="33"/>
      <c r="D228" s="33"/>
      <c r="E228" s="33"/>
      <c r="F228" s="91"/>
      <c r="G228" s="91"/>
      <c r="H228" s="31"/>
      <c r="I228" s="33"/>
      <c r="J228" s="33"/>
      <c r="K228" s="33"/>
      <c r="L228" s="33"/>
      <c r="M228" s="92"/>
      <c r="N228" s="33"/>
      <c r="O228" s="92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ht="15.75" customHeight="1" x14ac:dyDescent="0.15">
      <c r="A229" s="33"/>
      <c r="B229" s="33"/>
      <c r="C229" s="33"/>
      <c r="D229" s="33"/>
      <c r="E229" s="33"/>
      <c r="F229" s="91"/>
      <c r="G229" s="91"/>
      <c r="H229" s="31"/>
      <c r="I229" s="33"/>
      <c r="J229" s="33"/>
      <c r="K229" s="33"/>
      <c r="L229" s="33"/>
      <c r="M229" s="92"/>
      <c r="N229" s="33"/>
      <c r="O229" s="92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ht="15.75" customHeight="1" x14ac:dyDescent="0.15">
      <c r="A230" s="33"/>
      <c r="B230" s="33"/>
      <c r="C230" s="33"/>
      <c r="D230" s="33"/>
      <c r="E230" s="33"/>
      <c r="F230" s="91"/>
      <c r="G230" s="91"/>
      <c r="H230" s="31"/>
      <c r="I230" s="33"/>
      <c r="J230" s="33"/>
      <c r="K230" s="33"/>
      <c r="L230" s="33"/>
      <c r="M230" s="92"/>
      <c r="N230" s="33"/>
      <c r="O230" s="92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ht="15.75" customHeight="1" x14ac:dyDescent="0.15">
      <c r="A231" s="33"/>
      <c r="B231" s="33"/>
      <c r="C231" s="33"/>
      <c r="D231" s="33"/>
      <c r="E231" s="33"/>
      <c r="F231" s="91"/>
      <c r="G231" s="91"/>
      <c r="H231" s="31"/>
      <c r="I231" s="33"/>
      <c r="J231" s="33"/>
      <c r="K231" s="33"/>
      <c r="L231" s="33"/>
      <c r="M231" s="92"/>
      <c r="N231" s="33"/>
      <c r="O231" s="92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ht="15.75" customHeight="1" x14ac:dyDescent="0.15">
      <c r="A232" s="33"/>
      <c r="B232" s="33"/>
      <c r="C232" s="33"/>
      <c r="D232" s="33"/>
      <c r="E232" s="33"/>
      <c r="F232" s="91"/>
      <c r="G232" s="91"/>
      <c r="H232" s="31"/>
      <c r="I232" s="33"/>
      <c r="J232" s="33"/>
      <c r="K232" s="33"/>
      <c r="L232" s="33"/>
      <c r="M232" s="92"/>
      <c r="N232" s="33"/>
      <c r="O232" s="92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ht="15.75" customHeight="1" x14ac:dyDescent="0.15">
      <c r="A233" s="33"/>
      <c r="B233" s="33"/>
      <c r="C233" s="33"/>
      <c r="D233" s="33"/>
      <c r="E233" s="33"/>
      <c r="F233" s="91"/>
      <c r="G233" s="91"/>
      <c r="H233" s="31"/>
      <c r="I233" s="33"/>
      <c r="J233" s="33"/>
      <c r="K233" s="33"/>
      <c r="L233" s="33"/>
      <c r="M233" s="92"/>
      <c r="N233" s="33"/>
      <c r="O233" s="92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ht="15.75" customHeight="1" x14ac:dyDescent="0.15">
      <c r="A234" s="33"/>
      <c r="B234" s="33"/>
      <c r="C234" s="33"/>
      <c r="D234" s="33"/>
      <c r="E234" s="33"/>
      <c r="F234" s="91"/>
      <c r="G234" s="91"/>
      <c r="H234" s="31"/>
      <c r="I234" s="33"/>
      <c r="J234" s="33"/>
      <c r="K234" s="33"/>
      <c r="L234" s="33"/>
      <c r="M234" s="92"/>
      <c r="N234" s="33"/>
      <c r="O234" s="92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5.75" customHeight="1" x14ac:dyDescent="0.15">
      <c r="A235" s="33"/>
      <c r="B235" s="33"/>
      <c r="C235" s="33"/>
      <c r="D235" s="33"/>
      <c r="E235" s="33"/>
      <c r="F235" s="91"/>
      <c r="G235" s="91"/>
      <c r="H235" s="31"/>
      <c r="I235" s="33"/>
      <c r="J235" s="33"/>
      <c r="K235" s="33"/>
      <c r="L235" s="33"/>
      <c r="M235" s="92"/>
      <c r="N235" s="33"/>
      <c r="O235" s="92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5.75" customHeight="1" x14ac:dyDescent="0.15">
      <c r="A236" s="33"/>
      <c r="B236" s="33"/>
      <c r="C236" s="33"/>
      <c r="D236" s="33"/>
      <c r="E236" s="33"/>
      <c r="F236" s="91"/>
      <c r="G236" s="91"/>
      <c r="H236" s="31"/>
      <c r="I236" s="33"/>
      <c r="J236" s="33"/>
      <c r="K236" s="33"/>
      <c r="L236" s="33"/>
      <c r="M236" s="92"/>
      <c r="N236" s="33"/>
      <c r="O236" s="92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ht="15.75" customHeight="1" x14ac:dyDescent="0.15">
      <c r="A237" s="33"/>
      <c r="B237" s="33"/>
      <c r="C237" s="33"/>
      <c r="D237" s="33"/>
      <c r="E237" s="33"/>
      <c r="F237" s="91"/>
      <c r="G237" s="91"/>
      <c r="H237" s="31"/>
      <c r="I237" s="33"/>
      <c r="J237" s="33"/>
      <c r="K237" s="33"/>
      <c r="L237" s="33"/>
      <c r="M237" s="92"/>
      <c r="N237" s="33"/>
      <c r="O237" s="92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ht="15.75" customHeight="1" x14ac:dyDescent="0.15">
      <c r="A238" s="33"/>
      <c r="B238" s="33"/>
      <c r="C238" s="33"/>
      <c r="D238" s="33"/>
      <c r="E238" s="33"/>
      <c r="F238" s="91"/>
      <c r="G238" s="91"/>
      <c r="H238" s="31"/>
      <c r="I238" s="33"/>
      <c r="J238" s="33"/>
      <c r="K238" s="33"/>
      <c r="L238" s="33"/>
      <c r="M238" s="92"/>
      <c r="N238" s="33"/>
      <c r="O238" s="92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5.75" customHeight="1" x14ac:dyDescent="0.15">
      <c r="A239" s="33"/>
      <c r="B239" s="33"/>
      <c r="C239" s="33"/>
      <c r="D239" s="33"/>
      <c r="E239" s="33"/>
      <c r="F239" s="91"/>
      <c r="G239" s="91"/>
      <c r="H239" s="31"/>
      <c r="I239" s="33"/>
      <c r="J239" s="33"/>
      <c r="K239" s="33"/>
      <c r="L239" s="33"/>
      <c r="M239" s="92"/>
      <c r="N239" s="33"/>
      <c r="O239" s="92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ht="15.75" customHeight="1" x14ac:dyDescent="0.15">
      <c r="A240" s="33"/>
      <c r="B240" s="33"/>
      <c r="C240" s="33"/>
      <c r="D240" s="33"/>
      <c r="E240" s="33"/>
      <c r="F240" s="91"/>
      <c r="G240" s="91"/>
      <c r="H240" s="31"/>
      <c r="I240" s="33"/>
      <c r="J240" s="33"/>
      <c r="K240" s="33"/>
      <c r="L240" s="33"/>
      <c r="M240" s="92"/>
      <c r="N240" s="33"/>
      <c r="O240" s="92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ht="15.75" customHeight="1" x14ac:dyDescent="0.15">
      <c r="A241" s="33"/>
      <c r="B241" s="33"/>
      <c r="C241" s="33"/>
      <c r="D241" s="33"/>
      <c r="E241" s="33"/>
      <c r="F241" s="91"/>
      <c r="G241" s="91"/>
      <c r="H241" s="31"/>
      <c r="I241" s="33"/>
      <c r="J241" s="33"/>
      <c r="K241" s="33"/>
      <c r="L241" s="33"/>
      <c r="M241" s="92"/>
      <c r="N241" s="33"/>
      <c r="O241" s="92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ht="15.75" customHeight="1" x14ac:dyDescent="0.15"/>
    <row r="243" spans="1:28" ht="15.75" customHeight="1" x14ac:dyDescent="0.15"/>
    <row r="244" spans="1:28" ht="15.75" customHeight="1" x14ac:dyDescent="0.15"/>
    <row r="245" spans="1:28" ht="15.75" customHeight="1" x14ac:dyDescent="0.15"/>
    <row r="246" spans="1:28" ht="15.75" customHeight="1" x14ac:dyDescent="0.15"/>
    <row r="247" spans="1:28" ht="15.75" customHeight="1" x14ac:dyDescent="0.15"/>
    <row r="248" spans="1:28" ht="15.75" customHeight="1" x14ac:dyDescent="0.15"/>
    <row r="249" spans="1:28" ht="15.75" customHeight="1" x14ac:dyDescent="0.15"/>
    <row r="250" spans="1:28" ht="15.75" customHeight="1" x14ac:dyDescent="0.15"/>
    <row r="251" spans="1:28" ht="15.75" customHeight="1" x14ac:dyDescent="0.15"/>
    <row r="252" spans="1:28" ht="15.75" customHeight="1" x14ac:dyDescent="0.15"/>
    <row r="253" spans="1:28" ht="15.75" customHeight="1" x14ac:dyDescent="0.15"/>
    <row r="254" spans="1:28" ht="15.75" customHeight="1" x14ac:dyDescent="0.15"/>
    <row r="255" spans="1:28" ht="15.75" customHeight="1" x14ac:dyDescent="0.15"/>
    <row r="256" spans="1:28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R1"/>
    <mergeCell ref="A2:R2"/>
    <mergeCell ref="A3:R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7.109375" customWidth="1"/>
    <col min="2" max="3" width="19.98046875" customWidth="1"/>
    <col min="4" max="4" width="8.703125" customWidth="1"/>
    <col min="5" max="9" width="19.98046875" customWidth="1"/>
    <col min="10" max="40" width="14.33984375" customWidth="1"/>
  </cols>
  <sheetData>
    <row r="1" spans="1:9" ht="25.5" customHeight="1" x14ac:dyDescent="0.15">
      <c r="A1" s="158" t="s">
        <v>515</v>
      </c>
      <c r="B1" s="127"/>
      <c r="C1" s="127"/>
      <c r="D1" s="127"/>
      <c r="E1" s="127"/>
      <c r="F1" s="127"/>
      <c r="G1" s="127"/>
      <c r="H1" s="127"/>
      <c r="I1" s="128"/>
    </row>
    <row r="2" spans="1:9" ht="18" customHeight="1" x14ac:dyDescent="0.15">
      <c r="A2" s="126" t="s">
        <v>516</v>
      </c>
      <c r="B2" s="127"/>
      <c r="C2" s="127"/>
      <c r="D2" s="127"/>
      <c r="E2" s="127"/>
      <c r="F2" s="127"/>
      <c r="G2" s="127"/>
      <c r="H2" s="127"/>
      <c r="I2" s="128"/>
    </row>
    <row r="3" spans="1:9" ht="15" customHeight="1" x14ac:dyDescent="0.15">
      <c r="A3" s="151" t="s">
        <v>517</v>
      </c>
      <c r="B3" s="127"/>
      <c r="C3" s="127"/>
      <c r="D3" s="127"/>
      <c r="E3" s="127"/>
      <c r="F3" s="127"/>
      <c r="G3" s="127"/>
      <c r="H3" s="127"/>
      <c r="I3" s="128"/>
    </row>
    <row r="4" spans="1:9" ht="30" customHeight="1" x14ac:dyDescent="0.15">
      <c r="A4" s="159" t="s">
        <v>518</v>
      </c>
      <c r="B4" s="160"/>
      <c r="C4" s="160"/>
      <c r="D4" s="160"/>
      <c r="E4" s="160"/>
      <c r="F4" s="160"/>
      <c r="G4" s="160"/>
      <c r="H4" s="160"/>
      <c r="I4" s="161"/>
    </row>
    <row r="5" spans="1:9" ht="16.5" customHeight="1" x14ac:dyDescent="0.15">
      <c r="A5" s="162" t="s">
        <v>519</v>
      </c>
      <c r="B5" s="163"/>
      <c r="C5" s="163"/>
      <c r="D5" s="163"/>
      <c r="E5" s="163"/>
      <c r="F5" s="163"/>
      <c r="G5" s="163"/>
      <c r="H5" s="163"/>
      <c r="I5" s="164"/>
    </row>
    <row r="6" spans="1:9" ht="16.5" customHeight="1" x14ac:dyDescent="0.15">
      <c r="A6" s="165" t="s">
        <v>520</v>
      </c>
      <c r="B6" s="163"/>
      <c r="C6" s="163"/>
      <c r="D6" s="163"/>
      <c r="E6" s="163"/>
      <c r="F6" s="163"/>
      <c r="G6" s="163"/>
      <c r="H6" s="163"/>
      <c r="I6" s="164"/>
    </row>
    <row r="7" spans="1:9" ht="16.5" customHeight="1" x14ac:dyDescent="0.15">
      <c r="A7" s="25"/>
      <c r="B7" s="25"/>
      <c r="C7" s="25"/>
      <c r="D7" s="25"/>
      <c r="E7" s="25"/>
      <c r="F7" s="25"/>
      <c r="G7" s="25"/>
      <c r="H7" s="25"/>
      <c r="I7" s="25"/>
    </row>
    <row r="8" spans="1:9" ht="16.5" customHeight="1" x14ac:dyDescent="0.15">
      <c r="A8" s="21" t="s">
        <v>521</v>
      </c>
      <c r="B8" s="21" t="s">
        <v>522</v>
      </c>
      <c r="C8" s="21" t="s">
        <v>143</v>
      </c>
      <c r="D8" s="21" t="s">
        <v>523</v>
      </c>
      <c r="E8" s="21" t="s">
        <v>524</v>
      </c>
      <c r="F8" s="21" t="s">
        <v>525</v>
      </c>
      <c r="G8" s="21" t="s">
        <v>526</v>
      </c>
      <c r="H8" s="21" t="s">
        <v>527</v>
      </c>
      <c r="I8" s="21" t="s">
        <v>153</v>
      </c>
    </row>
    <row r="9" spans="1:9" ht="16.5" customHeight="1" x14ac:dyDescent="0.15">
      <c r="A9" s="25" t="s">
        <v>338</v>
      </c>
      <c r="B9" s="25" t="s">
        <v>346</v>
      </c>
      <c r="C9" s="25" t="s">
        <v>352</v>
      </c>
      <c r="D9" s="25" t="s">
        <v>358</v>
      </c>
      <c r="E9" s="25" t="s">
        <v>364</v>
      </c>
      <c r="F9" s="25" t="s">
        <v>371</v>
      </c>
      <c r="G9" s="25" t="s">
        <v>377</v>
      </c>
      <c r="H9" s="25" t="s">
        <v>383</v>
      </c>
      <c r="I9" s="25" t="s">
        <v>387</v>
      </c>
    </row>
    <row r="10" spans="1:9" ht="16.5" customHeight="1" x14ac:dyDescent="0.15">
      <c r="A10" s="21"/>
      <c r="B10" s="21" t="s">
        <v>528</v>
      </c>
      <c r="C10" s="21" t="s">
        <v>529</v>
      </c>
      <c r="D10" s="21">
        <v>5</v>
      </c>
      <c r="E10" s="21" t="s">
        <v>530</v>
      </c>
      <c r="F10" s="21" t="s">
        <v>531</v>
      </c>
      <c r="G10" s="21" t="s">
        <v>532</v>
      </c>
      <c r="H10" s="21" t="s">
        <v>533</v>
      </c>
      <c r="I10" s="21"/>
    </row>
    <row r="11" spans="1:9" ht="16.5" customHeight="1" x14ac:dyDescent="0.15">
      <c r="A11" s="25"/>
      <c r="B11" s="25" t="s">
        <v>528</v>
      </c>
      <c r="C11" s="25" t="s">
        <v>529</v>
      </c>
      <c r="D11" s="25">
        <v>5</v>
      </c>
      <c r="E11" s="25" t="s">
        <v>534</v>
      </c>
      <c r="F11" s="25" t="s">
        <v>535</v>
      </c>
      <c r="G11" s="25" t="s">
        <v>532</v>
      </c>
      <c r="H11" s="25" t="s">
        <v>533</v>
      </c>
      <c r="I11" s="25"/>
    </row>
    <row r="12" spans="1:9" ht="16.5" customHeight="1" x14ac:dyDescent="0.15">
      <c r="A12" s="21"/>
      <c r="B12" s="21" t="s">
        <v>528</v>
      </c>
      <c r="C12" s="21" t="s">
        <v>529</v>
      </c>
      <c r="D12" s="21">
        <v>5</v>
      </c>
      <c r="E12" s="21" t="s">
        <v>536</v>
      </c>
      <c r="F12" s="21" t="s">
        <v>537</v>
      </c>
      <c r="G12" s="21" t="s">
        <v>532</v>
      </c>
      <c r="H12" s="21" t="s">
        <v>533</v>
      </c>
      <c r="I12" s="21"/>
    </row>
    <row r="13" spans="1:9" ht="16.5" customHeight="1" x14ac:dyDescent="0.15">
      <c r="A13" s="25"/>
      <c r="B13" s="25" t="s">
        <v>528</v>
      </c>
      <c r="C13" s="25" t="s">
        <v>529</v>
      </c>
      <c r="D13" s="25">
        <v>5</v>
      </c>
      <c r="E13" s="25" t="s">
        <v>538</v>
      </c>
      <c r="F13" s="25" t="s">
        <v>539</v>
      </c>
      <c r="G13" s="25" t="s">
        <v>532</v>
      </c>
      <c r="H13" s="25" t="s">
        <v>533</v>
      </c>
      <c r="I13" s="25"/>
    </row>
    <row r="14" spans="1:9" ht="16.5" customHeight="1" x14ac:dyDescent="0.15">
      <c r="A14" s="21"/>
      <c r="B14" s="21" t="s">
        <v>528</v>
      </c>
      <c r="C14" s="21" t="s">
        <v>529</v>
      </c>
      <c r="D14" s="21">
        <v>5</v>
      </c>
      <c r="E14" s="21" t="s">
        <v>540</v>
      </c>
      <c r="F14" s="21" t="s">
        <v>541</v>
      </c>
      <c r="G14" s="21" t="s">
        <v>532</v>
      </c>
      <c r="H14" s="21" t="s">
        <v>533</v>
      </c>
      <c r="I14" s="21"/>
    </row>
    <row r="15" spans="1:9" ht="16.5" customHeight="1" x14ac:dyDescent="0.15">
      <c r="A15" s="25"/>
      <c r="B15" s="25" t="s">
        <v>528</v>
      </c>
      <c r="C15" s="25" t="s">
        <v>529</v>
      </c>
      <c r="D15" s="25">
        <v>5</v>
      </c>
      <c r="E15" s="25" t="s">
        <v>542</v>
      </c>
      <c r="F15" s="25" t="s">
        <v>543</v>
      </c>
      <c r="G15" s="25" t="s">
        <v>532</v>
      </c>
      <c r="H15" s="25" t="s">
        <v>533</v>
      </c>
      <c r="I15" s="25"/>
    </row>
    <row r="16" spans="1:9" ht="16.5" customHeight="1" x14ac:dyDescent="0.15">
      <c r="A16" s="21"/>
      <c r="B16" s="21" t="s">
        <v>528</v>
      </c>
      <c r="C16" s="21" t="s">
        <v>529</v>
      </c>
      <c r="D16" s="21">
        <v>5</v>
      </c>
      <c r="E16" s="21" t="s">
        <v>544</v>
      </c>
      <c r="F16" s="21" t="s">
        <v>545</v>
      </c>
      <c r="G16" s="21" t="s">
        <v>532</v>
      </c>
      <c r="H16" s="21" t="s">
        <v>533</v>
      </c>
      <c r="I16" s="21"/>
    </row>
    <row r="17" spans="1:9" ht="16.5" customHeight="1" x14ac:dyDescent="0.15">
      <c r="A17" s="25"/>
      <c r="B17" s="25" t="s">
        <v>528</v>
      </c>
      <c r="C17" s="25" t="s">
        <v>529</v>
      </c>
      <c r="D17" s="25">
        <v>5</v>
      </c>
      <c r="E17" s="25" t="s">
        <v>546</v>
      </c>
      <c r="F17" s="25" t="s">
        <v>547</v>
      </c>
      <c r="G17" s="25" t="s">
        <v>532</v>
      </c>
      <c r="H17" s="25" t="s">
        <v>533</v>
      </c>
      <c r="I17" s="25"/>
    </row>
    <row r="18" spans="1:9" ht="16.5" customHeight="1" x14ac:dyDescent="0.15">
      <c r="A18" s="21"/>
      <c r="B18" s="21" t="s">
        <v>528</v>
      </c>
      <c r="C18" s="21" t="s">
        <v>529</v>
      </c>
      <c r="D18" s="21">
        <v>5</v>
      </c>
      <c r="E18" s="21" t="s">
        <v>548</v>
      </c>
      <c r="F18" s="21" t="s">
        <v>549</v>
      </c>
      <c r="G18" s="21" t="s">
        <v>532</v>
      </c>
      <c r="H18" s="21" t="s">
        <v>533</v>
      </c>
      <c r="I18" s="21"/>
    </row>
    <row r="19" spans="1:9" ht="16.5" customHeight="1" x14ac:dyDescent="0.15">
      <c r="A19" s="25"/>
      <c r="B19" s="25" t="s">
        <v>528</v>
      </c>
      <c r="C19" s="25" t="s">
        <v>529</v>
      </c>
      <c r="D19" s="25">
        <v>5</v>
      </c>
      <c r="E19" s="25" t="s">
        <v>550</v>
      </c>
      <c r="F19" s="25" t="s">
        <v>551</v>
      </c>
      <c r="G19" s="25" t="s">
        <v>532</v>
      </c>
      <c r="H19" s="25" t="s">
        <v>533</v>
      </c>
      <c r="I19" s="25"/>
    </row>
    <row r="20" spans="1:9" ht="16.5" customHeight="1" x14ac:dyDescent="0.15">
      <c r="A20" s="21"/>
      <c r="B20" s="21" t="s">
        <v>552</v>
      </c>
      <c r="C20" s="21" t="s">
        <v>529</v>
      </c>
      <c r="D20" s="21">
        <v>5</v>
      </c>
      <c r="E20" s="21" t="s">
        <v>553</v>
      </c>
      <c r="F20" s="21" t="s">
        <v>554</v>
      </c>
      <c r="G20" s="21" t="s">
        <v>532</v>
      </c>
      <c r="H20" s="21" t="s">
        <v>533</v>
      </c>
      <c r="I20" s="21"/>
    </row>
    <row r="21" spans="1:9" ht="16.5" customHeight="1" x14ac:dyDescent="0.15">
      <c r="A21" s="25"/>
      <c r="B21" s="25" t="s">
        <v>555</v>
      </c>
      <c r="C21" s="25" t="s">
        <v>529</v>
      </c>
      <c r="D21" s="25">
        <v>5</v>
      </c>
      <c r="E21" s="25" t="s">
        <v>556</v>
      </c>
      <c r="F21" s="25" t="s">
        <v>557</v>
      </c>
      <c r="G21" s="25" t="s">
        <v>532</v>
      </c>
      <c r="H21" s="25" t="s">
        <v>533</v>
      </c>
      <c r="I21" s="25"/>
    </row>
    <row r="22" spans="1:9" ht="16.5" customHeight="1" x14ac:dyDescent="0.15">
      <c r="A22" s="21"/>
      <c r="B22" s="21" t="s">
        <v>552</v>
      </c>
      <c r="C22" s="21" t="s">
        <v>529</v>
      </c>
      <c r="D22" s="21">
        <v>5</v>
      </c>
      <c r="E22" s="21" t="s">
        <v>558</v>
      </c>
      <c r="F22" s="21" t="s">
        <v>559</v>
      </c>
      <c r="G22" s="21" t="s">
        <v>532</v>
      </c>
      <c r="H22" s="21" t="s">
        <v>533</v>
      </c>
      <c r="I22" s="21"/>
    </row>
    <row r="23" spans="1:9" ht="16.5" customHeight="1" x14ac:dyDescent="0.15">
      <c r="A23" s="25"/>
      <c r="B23" s="25" t="s">
        <v>552</v>
      </c>
      <c r="C23" s="25" t="s">
        <v>529</v>
      </c>
      <c r="D23" s="25">
        <v>5</v>
      </c>
      <c r="E23" s="25" t="s">
        <v>560</v>
      </c>
      <c r="F23" s="25" t="s">
        <v>561</v>
      </c>
      <c r="G23" s="25" t="s">
        <v>532</v>
      </c>
      <c r="H23" s="25" t="s">
        <v>533</v>
      </c>
      <c r="I23" s="25"/>
    </row>
    <row r="24" spans="1:9" ht="16.5" customHeight="1" x14ac:dyDescent="0.15">
      <c r="A24" s="21"/>
      <c r="B24" s="21" t="s">
        <v>552</v>
      </c>
      <c r="C24" s="21" t="s">
        <v>529</v>
      </c>
      <c r="D24" s="21">
        <v>5</v>
      </c>
      <c r="E24" s="21" t="s">
        <v>562</v>
      </c>
      <c r="F24" s="21" t="s">
        <v>563</v>
      </c>
      <c r="G24" s="21" t="s">
        <v>532</v>
      </c>
      <c r="H24" s="21" t="s">
        <v>533</v>
      </c>
      <c r="I24" s="21"/>
    </row>
    <row r="25" spans="1:9" ht="16.5" customHeight="1" x14ac:dyDescent="0.15">
      <c r="A25" s="25"/>
      <c r="B25" s="25" t="s">
        <v>552</v>
      </c>
      <c r="C25" s="25" t="s">
        <v>529</v>
      </c>
      <c r="D25" s="25">
        <v>5</v>
      </c>
      <c r="E25" s="25" t="s">
        <v>564</v>
      </c>
      <c r="F25" s="25" t="s">
        <v>565</v>
      </c>
      <c r="G25" s="25" t="s">
        <v>532</v>
      </c>
      <c r="H25" s="25" t="s">
        <v>533</v>
      </c>
      <c r="I25" s="25"/>
    </row>
    <row r="26" spans="1:9" ht="16.5" customHeight="1" x14ac:dyDescent="0.15">
      <c r="A26" s="21"/>
      <c r="B26" s="21" t="s">
        <v>555</v>
      </c>
      <c r="C26" s="21" t="s">
        <v>529</v>
      </c>
      <c r="D26" s="21">
        <v>5</v>
      </c>
      <c r="E26" s="21" t="s">
        <v>562</v>
      </c>
      <c r="F26" s="21" t="s">
        <v>566</v>
      </c>
      <c r="G26" s="21" t="s">
        <v>532</v>
      </c>
      <c r="H26" s="21" t="s">
        <v>533</v>
      </c>
      <c r="I26" s="21"/>
    </row>
    <row r="27" spans="1:9" ht="16.5" customHeight="1" x14ac:dyDescent="0.15">
      <c r="A27" s="25"/>
      <c r="B27" s="25" t="s">
        <v>567</v>
      </c>
      <c r="C27" s="25" t="s">
        <v>529</v>
      </c>
      <c r="D27" s="25">
        <v>5</v>
      </c>
      <c r="E27" s="25" t="s">
        <v>568</v>
      </c>
      <c r="F27" s="25" t="s">
        <v>569</v>
      </c>
      <c r="G27" s="25" t="s">
        <v>532</v>
      </c>
      <c r="H27" s="25" t="s">
        <v>533</v>
      </c>
      <c r="I27" s="25"/>
    </row>
    <row r="28" spans="1:9" ht="16.5" customHeight="1" x14ac:dyDescent="0.15">
      <c r="A28" s="21"/>
      <c r="B28" s="21" t="s">
        <v>570</v>
      </c>
      <c r="C28" s="21" t="s">
        <v>529</v>
      </c>
      <c r="D28" s="21">
        <v>5</v>
      </c>
      <c r="E28" s="21" t="s">
        <v>571</v>
      </c>
      <c r="F28" s="21" t="s">
        <v>572</v>
      </c>
      <c r="G28" s="21" t="s">
        <v>532</v>
      </c>
      <c r="H28" s="21" t="s">
        <v>533</v>
      </c>
      <c r="I28" s="21"/>
    </row>
    <row r="29" spans="1:9" ht="16.5" customHeight="1" x14ac:dyDescent="0.15">
      <c r="A29" s="25"/>
      <c r="B29" s="25" t="s">
        <v>570</v>
      </c>
      <c r="C29" s="25" t="s">
        <v>529</v>
      </c>
      <c r="D29" s="25">
        <v>5</v>
      </c>
      <c r="E29" s="25" t="s">
        <v>573</v>
      </c>
      <c r="F29" s="25" t="s">
        <v>574</v>
      </c>
      <c r="G29" s="25" t="s">
        <v>532</v>
      </c>
      <c r="H29" s="25" t="s">
        <v>533</v>
      </c>
      <c r="I29" s="25"/>
    </row>
    <row r="30" spans="1:9" ht="16.5" customHeight="1" x14ac:dyDescent="0.15">
      <c r="A30" s="21"/>
      <c r="B30" s="21" t="s">
        <v>570</v>
      </c>
      <c r="C30" s="21" t="s">
        <v>529</v>
      </c>
      <c r="D30" s="21">
        <v>5</v>
      </c>
      <c r="E30" s="21" t="s">
        <v>575</v>
      </c>
      <c r="F30" s="21" t="s">
        <v>576</v>
      </c>
      <c r="G30" s="21" t="s">
        <v>532</v>
      </c>
      <c r="H30" s="21" t="s">
        <v>533</v>
      </c>
      <c r="I30" s="21"/>
    </row>
    <row r="31" spans="1:9" ht="16.5" customHeight="1" x14ac:dyDescent="0.15">
      <c r="A31" s="25"/>
      <c r="B31" s="25" t="s">
        <v>570</v>
      </c>
      <c r="C31" s="25" t="s">
        <v>529</v>
      </c>
      <c r="D31" s="25">
        <v>5</v>
      </c>
      <c r="E31" s="25" t="s">
        <v>577</v>
      </c>
      <c r="F31" s="25" t="s">
        <v>578</v>
      </c>
      <c r="G31" s="25" t="s">
        <v>532</v>
      </c>
      <c r="H31" s="25" t="s">
        <v>533</v>
      </c>
      <c r="I31" s="25"/>
    </row>
    <row r="32" spans="1:9" ht="16.5" customHeight="1" x14ac:dyDescent="0.15">
      <c r="A32" s="21"/>
      <c r="B32" s="21" t="s">
        <v>570</v>
      </c>
      <c r="C32" s="21" t="s">
        <v>529</v>
      </c>
      <c r="D32" s="21">
        <v>5</v>
      </c>
      <c r="E32" s="21" t="s">
        <v>579</v>
      </c>
      <c r="F32" s="21" t="s">
        <v>580</v>
      </c>
      <c r="G32" s="21" t="s">
        <v>532</v>
      </c>
      <c r="H32" s="21" t="s">
        <v>533</v>
      </c>
      <c r="I32" s="21"/>
    </row>
    <row r="33" spans="1:9" ht="16.5" customHeight="1" x14ac:dyDescent="0.15">
      <c r="A33" s="25"/>
      <c r="B33" s="25" t="s">
        <v>570</v>
      </c>
      <c r="C33" s="25" t="s">
        <v>529</v>
      </c>
      <c r="D33" s="25">
        <v>5</v>
      </c>
      <c r="E33" s="25" t="s">
        <v>581</v>
      </c>
      <c r="F33" s="25" t="s">
        <v>582</v>
      </c>
      <c r="G33" s="25" t="s">
        <v>532</v>
      </c>
      <c r="H33" s="25" t="s">
        <v>533</v>
      </c>
      <c r="I33" s="25"/>
    </row>
    <row r="34" spans="1:9" ht="16.5" customHeight="1" x14ac:dyDescent="0.15">
      <c r="A34" s="21"/>
      <c r="B34" s="21" t="s">
        <v>583</v>
      </c>
      <c r="C34" s="21" t="s">
        <v>529</v>
      </c>
      <c r="D34" s="21">
        <v>5</v>
      </c>
      <c r="E34" s="21" t="s">
        <v>584</v>
      </c>
      <c r="F34" s="21" t="s">
        <v>585</v>
      </c>
      <c r="G34" s="21" t="s">
        <v>532</v>
      </c>
      <c r="H34" s="21" t="s">
        <v>533</v>
      </c>
      <c r="I34" s="21"/>
    </row>
    <row r="35" spans="1:9" ht="16.5" customHeight="1" x14ac:dyDescent="0.15">
      <c r="A35" s="25"/>
      <c r="B35" s="25" t="s">
        <v>555</v>
      </c>
      <c r="C35" s="25" t="s">
        <v>529</v>
      </c>
      <c r="D35" s="25">
        <v>5</v>
      </c>
      <c r="E35" s="25" t="s">
        <v>586</v>
      </c>
      <c r="F35" s="25" t="s">
        <v>587</v>
      </c>
      <c r="G35" s="25" t="s">
        <v>532</v>
      </c>
      <c r="H35" s="25" t="s">
        <v>533</v>
      </c>
      <c r="I35" s="25"/>
    </row>
    <row r="36" spans="1:9" ht="16.5" customHeight="1" x14ac:dyDescent="0.15">
      <c r="A36" s="21"/>
      <c r="B36" s="21" t="s">
        <v>583</v>
      </c>
      <c r="C36" s="21" t="s">
        <v>529</v>
      </c>
      <c r="D36" s="21">
        <v>5</v>
      </c>
      <c r="E36" s="21" t="s">
        <v>588</v>
      </c>
      <c r="F36" s="21" t="s">
        <v>589</v>
      </c>
      <c r="G36" s="21" t="s">
        <v>532</v>
      </c>
      <c r="H36" s="21" t="s">
        <v>533</v>
      </c>
      <c r="I36" s="21"/>
    </row>
    <row r="37" spans="1:9" ht="16.5" customHeight="1" x14ac:dyDescent="0.15">
      <c r="A37" s="25"/>
      <c r="B37" s="25" t="s">
        <v>583</v>
      </c>
      <c r="C37" s="25" t="s">
        <v>529</v>
      </c>
      <c r="D37" s="25">
        <v>5</v>
      </c>
      <c r="E37" s="25" t="s">
        <v>590</v>
      </c>
      <c r="F37" s="25" t="s">
        <v>591</v>
      </c>
      <c r="G37" s="25" t="s">
        <v>532</v>
      </c>
      <c r="H37" s="25" t="s">
        <v>533</v>
      </c>
      <c r="I37" s="25"/>
    </row>
    <row r="38" spans="1:9" ht="16.5" customHeight="1" x14ac:dyDescent="0.15">
      <c r="A38" s="21"/>
      <c r="B38" s="21" t="s">
        <v>528</v>
      </c>
      <c r="C38" s="21" t="s">
        <v>529</v>
      </c>
      <c r="D38" s="21">
        <v>5</v>
      </c>
      <c r="E38" s="21" t="s">
        <v>592</v>
      </c>
      <c r="F38" s="21" t="s">
        <v>593</v>
      </c>
      <c r="G38" s="21" t="s">
        <v>532</v>
      </c>
      <c r="H38" s="21" t="s">
        <v>533</v>
      </c>
      <c r="I38" s="21"/>
    </row>
    <row r="39" spans="1:9" ht="16.5" customHeight="1" x14ac:dyDescent="0.15">
      <c r="A39" s="25"/>
      <c r="B39" s="25" t="s">
        <v>528</v>
      </c>
      <c r="C39" s="25" t="s">
        <v>529</v>
      </c>
      <c r="D39" s="25">
        <v>5</v>
      </c>
      <c r="E39" s="25" t="s">
        <v>594</v>
      </c>
      <c r="F39" s="25" t="s">
        <v>595</v>
      </c>
      <c r="G39" s="25" t="s">
        <v>532</v>
      </c>
      <c r="H39" s="25" t="s">
        <v>533</v>
      </c>
      <c r="I39" s="25"/>
    </row>
    <row r="40" spans="1:9" ht="16.5" customHeight="1" x14ac:dyDescent="0.15">
      <c r="A40" s="21"/>
      <c r="B40" s="21" t="s">
        <v>596</v>
      </c>
      <c r="C40" s="21" t="s">
        <v>529</v>
      </c>
      <c r="D40" s="21">
        <v>5</v>
      </c>
      <c r="E40" s="21" t="s">
        <v>597</v>
      </c>
      <c r="F40" s="21" t="s">
        <v>598</v>
      </c>
      <c r="G40" s="21" t="s">
        <v>599</v>
      </c>
      <c r="H40" s="21" t="s">
        <v>533</v>
      </c>
      <c r="I40" s="21"/>
    </row>
    <row r="41" spans="1:9" ht="16.5" customHeight="1" x14ac:dyDescent="0.15">
      <c r="A41" s="25"/>
      <c r="B41" s="25" t="s">
        <v>596</v>
      </c>
      <c r="C41" s="25" t="s">
        <v>529</v>
      </c>
      <c r="D41" s="25">
        <v>5</v>
      </c>
      <c r="E41" s="25" t="s">
        <v>600</v>
      </c>
      <c r="F41" s="25" t="s">
        <v>601</v>
      </c>
      <c r="G41" s="25" t="s">
        <v>599</v>
      </c>
      <c r="H41" s="25" t="s">
        <v>533</v>
      </c>
      <c r="I41" s="25"/>
    </row>
    <row r="42" spans="1:9" ht="16.5" customHeight="1" x14ac:dyDescent="0.15">
      <c r="A42" s="21"/>
      <c r="B42" s="21" t="s">
        <v>602</v>
      </c>
      <c r="C42" s="21" t="s">
        <v>529</v>
      </c>
      <c r="D42" s="21">
        <v>5</v>
      </c>
      <c r="E42" s="21" t="s">
        <v>603</v>
      </c>
      <c r="F42" s="21" t="s">
        <v>604</v>
      </c>
      <c r="G42" s="21" t="s">
        <v>599</v>
      </c>
      <c r="H42" s="21" t="s">
        <v>533</v>
      </c>
      <c r="I42" s="21"/>
    </row>
    <row r="43" spans="1:9" ht="16.5" customHeight="1" x14ac:dyDescent="0.15">
      <c r="A43" s="25"/>
      <c r="B43" s="25" t="s">
        <v>605</v>
      </c>
      <c r="C43" s="25" t="s">
        <v>529</v>
      </c>
      <c r="D43" s="25">
        <v>5</v>
      </c>
      <c r="E43" s="25" t="s">
        <v>606</v>
      </c>
      <c r="F43" s="25" t="s">
        <v>607</v>
      </c>
      <c r="G43" s="25" t="s">
        <v>599</v>
      </c>
      <c r="H43" s="25" t="s">
        <v>533</v>
      </c>
      <c r="I43" s="25"/>
    </row>
    <row r="44" spans="1:9" ht="16.5" customHeight="1" x14ac:dyDescent="0.15">
      <c r="A44" s="21"/>
      <c r="B44" s="21" t="s">
        <v>608</v>
      </c>
      <c r="C44" s="21" t="s">
        <v>529</v>
      </c>
      <c r="D44" s="21">
        <v>5</v>
      </c>
      <c r="E44" s="21" t="s">
        <v>609</v>
      </c>
      <c r="F44" s="21" t="s">
        <v>610</v>
      </c>
      <c r="G44" s="21" t="s">
        <v>599</v>
      </c>
      <c r="H44" s="21" t="s">
        <v>533</v>
      </c>
      <c r="I44" s="21"/>
    </row>
    <row r="45" spans="1:9" ht="16.5" customHeight="1" x14ac:dyDescent="0.15">
      <c r="A45" s="25"/>
      <c r="B45" s="25" t="s">
        <v>608</v>
      </c>
      <c r="C45" s="25" t="s">
        <v>529</v>
      </c>
      <c r="D45" s="25">
        <v>5</v>
      </c>
      <c r="E45" s="25" t="s">
        <v>611</v>
      </c>
      <c r="F45" s="25" t="s">
        <v>612</v>
      </c>
      <c r="G45" s="25" t="s">
        <v>599</v>
      </c>
      <c r="H45" s="25" t="s">
        <v>533</v>
      </c>
      <c r="I45" s="25"/>
    </row>
    <row r="46" spans="1:9" ht="16.5" customHeight="1" x14ac:dyDescent="0.15">
      <c r="A46" s="21"/>
      <c r="B46" s="21" t="s">
        <v>608</v>
      </c>
      <c r="C46" s="21" t="s">
        <v>529</v>
      </c>
      <c r="D46" s="21">
        <v>5</v>
      </c>
      <c r="E46" s="21" t="s">
        <v>613</v>
      </c>
      <c r="F46" s="21" t="s">
        <v>614</v>
      </c>
      <c r="G46" s="21" t="s">
        <v>599</v>
      </c>
      <c r="H46" s="21" t="s">
        <v>533</v>
      </c>
      <c r="I46" s="21"/>
    </row>
    <row r="47" spans="1:9" ht="16.5" customHeight="1" x14ac:dyDescent="0.15">
      <c r="A47" s="25"/>
      <c r="B47" s="25" t="s">
        <v>608</v>
      </c>
      <c r="C47" s="25" t="s">
        <v>529</v>
      </c>
      <c r="D47" s="25">
        <v>5</v>
      </c>
      <c r="E47" s="25" t="s">
        <v>615</v>
      </c>
      <c r="F47" s="25" t="s">
        <v>616</v>
      </c>
      <c r="G47" s="25" t="s">
        <v>599</v>
      </c>
      <c r="H47" s="25" t="s">
        <v>533</v>
      </c>
      <c r="I47" s="25"/>
    </row>
    <row r="48" spans="1:9" ht="16.5" customHeight="1" x14ac:dyDescent="0.15">
      <c r="A48" s="21"/>
      <c r="B48" s="21" t="s">
        <v>596</v>
      </c>
      <c r="C48" s="21" t="s">
        <v>529</v>
      </c>
      <c r="D48" s="21">
        <v>5</v>
      </c>
      <c r="E48" s="21" t="s">
        <v>617</v>
      </c>
      <c r="F48" s="21" t="s">
        <v>618</v>
      </c>
      <c r="G48" s="21" t="s">
        <v>599</v>
      </c>
      <c r="H48" s="21" t="s">
        <v>533</v>
      </c>
      <c r="I48" s="21"/>
    </row>
    <row r="49" spans="1:9" ht="16.5" customHeight="1" x14ac:dyDescent="0.15">
      <c r="A49" s="25"/>
      <c r="B49" s="25" t="s">
        <v>608</v>
      </c>
      <c r="C49" s="25" t="s">
        <v>529</v>
      </c>
      <c r="D49" s="25">
        <v>5</v>
      </c>
      <c r="E49" s="25" t="s">
        <v>619</v>
      </c>
      <c r="F49" s="25" t="s">
        <v>620</v>
      </c>
      <c r="G49" s="25" t="s">
        <v>599</v>
      </c>
      <c r="H49" s="25" t="s">
        <v>533</v>
      </c>
      <c r="I49" s="25"/>
    </row>
    <row r="50" spans="1:9" ht="16.5" customHeight="1" x14ac:dyDescent="0.15">
      <c r="A50" s="21"/>
      <c r="B50" s="21" t="s">
        <v>608</v>
      </c>
      <c r="C50" s="21" t="s">
        <v>529</v>
      </c>
      <c r="D50" s="21">
        <v>5</v>
      </c>
      <c r="E50" s="21" t="s">
        <v>621</v>
      </c>
      <c r="F50" s="21" t="s">
        <v>622</v>
      </c>
      <c r="G50" s="21" t="s">
        <v>599</v>
      </c>
      <c r="H50" s="21" t="s">
        <v>533</v>
      </c>
      <c r="I50" s="21"/>
    </row>
    <row r="51" spans="1:9" ht="16.5" customHeight="1" x14ac:dyDescent="0.15">
      <c r="A51" s="25"/>
      <c r="B51" s="25" t="s">
        <v>608</v>
      </c>
      <c r="C51" s="25" t="s">
        <v>529</v>
      </c>
      <c r="D51" s="25">
        <v>5</v>
      </c>
      <c r="E51" s="25" t="s">
        <v>623</v>
      </c>
      <c r="F51" s="25" t="s">
        <v>624</v>
      </c>
      <c r="G51" s="25" t="s">
        <v>599</v>
      </c>
      <c r="H51" s="25" t="s">
        <v>533</v>
      </c>
      <c r="I51" s="25"/>
    </row>
    <row r="52" spans="1:9" ht="16.5" customHeight="1" x14ac:dyDescent="0.15">
      <c r="A52" s="21"/>
      <c r="B52" s="21" t="s">
        <v>608</v>
      </c>
      <c r="C52" s="21" t="s">
        <v>529</v>
      </c>
      <c r="D52" s="21">
        <v>5</v>
      </c>
      <c r="E52" s="21" t="s">
        <v>625</v>
      </c>
      <c r="F52" s="21" t="s">
        <v>626</v>
      </c>
      <c r="G52" s="21" t="s">
        <v>599</v>
      </c>
      <c r="H52" s="21" t="s">
        <v>533</v>
      </c>
      <c r="I52" s="21"/>
    </row>
    <row r="53" spans="1:9" ht="16.5" customHeight="1" x14ac:dyDescent="0.15">
      <c r="A53" s="25"/>
      <c r="B53" s="25" t="s">
        <v>608</v>
      </c>
      <c r="C53" s="25" t="s">
        <v>529</v>
      </c>
      <c r="D53" s="25">
        <v>5</v>
      </c>
      <c r="E53" s="25" t="s">
        <v>627</v>
      </c>
      <c r="F53" s="25" t="s">
        <v>628</v>
      </c>
      <c r="G53" s="25" t="s">
        <v>599</v>
      </c>
      <c r="H53" s="25" t="s">
        <v>533</v>
      </c>
      <c r="I53" s="25"/>
    </row>
    <row r="54" spans="1:9" ht="16.5" customHeight="1" x14ac:dyDescent="0.15">
      <c r="A54" s="21"/>
      <c r="B54" s="21" t="s">
        <v>629</v>
      </c>
      <c r="C54" s="21" t="s">
        <v>529</v>
      </c>
      <c r="D54" s="21">
        <v>5</v>
      </c>
      <c r="E54" s="21" t="s">
        <v>630</v>
      </c>
      <c r="F54" s="21" t="s">
        <v>631</v>
      </c>
      <c r="G54" s="21" t="s">
        <v>632</v>
      </c>
      <c r="H54" s="21" t="s">
        <v>533</v>
      </c>
      <c r="I54" s="21"/>
    </row>
    <row r="55" spans="1:9" ht="16.5" customHeight="1" x14ac:dyDescent="0.15">
      <c r="A55" s="25"/>
      <c r="B55" s="25" t="s">
        <v>633</v>
      </c>
      <c r="C55" s="25" t="s">
        <v>529</v>
      </c>
      <c r="D55" s="25">
        <v>5</v>
      </c>
      <c r="E55" s="25" t="s">
        <v>634</v>
      </c>
      <c r="F55" s="25" t="s">
        <v>635</v>
      </c>
      <c r="G55" s="25" t="s">
        <v>632</v>
      </c>
      <c r="H55" s="25" t="s">
        <v>533</v>
      </c>
      <c r="I55" s="25"/>
    </row>
    <row r="56" spans="1:9" ht="16.5" customHeight="1" x14ac:dyDescent="0.15">
      <c r="A56" s="21"/>
      <c r="B56" s="21" t="s">
        <v>636</v>
      </c>
      <c r="C56" s="21" t="s">
        <v>529</v>
      </c>
      <c r="D56" s="21">
        <v>5</v>
      </c>
      <c r="E56" s="21" t="s">
        <v>637</v>
      </c>
      <c r="F56" s="21" t="s">
        <v>638</v>
      </c>
      <c r="G56" s="21" t="s">
        <v>632</v>
      </c>
      <c r="H56" s="21" t="s">
        <v>533</v>
      </c>
      <c r="I56" s="21"/>
    </row>
    <row r="57" spans="1:9" ht="16.5" customHeight="1" x14ac:dyDescent="0.15">
      <c r="A57" s="25"/>
      <c r="B57" s="25" t="s">
        <v>636</v>
      </c>
      <c r="C57" s="25" t="s">
        <v>529</v>
      </c>
      <c r="D57" s="25">
        <v>5</v>
      </c>
      <c r="E57" s="25" t="s">
        <v>639</v>
      </c>
      <c r="F57" s="25" t="s">
        <v>640</v>
      </c>
      <c r="G57" s="25" t="s">
        <v>632</v>
      </c>
      <c r="H57" s="25" t="s">
        <v>533</v>
      </c>
      <c r="I57" s="25"/>
    </row>
    <row r="58" spans="1:9" ht="16.5" customHeight="1" x14ac:dyDescent="0.15">
      <c r="A58" s="21"/>
      <c r="B58" s="21" t="s">
        <v>636</v>
      </c>
      <c r="C58" s="21" t="s">
        <v>529</v>
      </c>
      <c r="D58" s="21">
        <v>5</v>
      </c>
      <c r="E58" s="21" t="s">
        <v>641</v>
      </c>
      <c r="F58" s="21" t="s">
        <v>642</v>
      </c>
      <c r="G58" s="21" t="s">
        <v>632</v>
      </c>
      <c r="H58" s="21" t="s">
        <v>533</v>
      </c>
      <c r="I58" s="21"/>
    </row>
    <row r="59" spans="1:9" ht="16.5" customHeight="1" x14ac:dyDescent="0.15">
      <c r="A59" s="25"/>
      <c r="B59" s="25" t="s">
        <v>629</v>
      </c>
      <c r="C59" s="25" t="s">
        <v>529</v>
      </c>
      <c r="D59" s="25">
        <v>5</v>
      </c>
      <c r="E59" s="25" t="s">
        <v>643</v>
      </c>
      <c r="F59" s="25" t="s">
        <v>644</v>
      </c>
      <c r="G59" s="25" t="s">
        <v>632</v>
      </c>
      <c r="H59" s="25" t="s">
        <v>533</v>
      </c>
      <c r="I59" s="25"/>
    </row>
    <row r="60" spans="1:9" ht="16.5" customHeight="1" x14ac:dyDescent="0.15">
      <c r="A60" s="21"/>
      <c r="B60" s="21" t="s">
        <v>633</v>
      </c>
      <c r="C60" s="21" t="s">
        <v>529</v>
      </c>
      <c r="D60" s="21">
        <v>5</v>
      </c>
      <c r="E60" s="21" t="s">
        <v>645</v>
      </c>
      <c r="F60" s="21" t="s">
        <v>646</v>
      </c>
      <c r="G60" s="21" t="s">
        <v>632</v>
      </c>
      <c r="H60" s="21" t="s">
        <v>533</v>
      </c>
      <c r="I60" s="21"/>
    </row>
    <row r="61" spans="1:9" ht="16.5" customHeight="1" x14ac:dyDescent="0.15">
      <c r="A61" s="25"/>
      <c r="B61" s="25" t="s">
        <v>636</v>
      </c>
      <c r="C61" s="25" t="s">
        <v>529</v>
      </c>
      <c r="D61" s="25">
        <v>5</v>
      </c>
      <c r="E61" s="25" t="s">
        <v>647</v>
      </c>
      <c r="F61" s="25" t="s">
        <v>648</v>
      </c>
      <c r="G61" s="25" t="s">
        <v>632</v>
      </c>
      <c r="H61" s="25" t="s">
        <v>533</v>
      </c>
      <c r="I61" s="25"/>
    </row>
    <row r="62" spans="1:9" ht="16.5" customHeight="1" x14ac:dyDescent="0.15">
      <c r="A62" s="21"/>
      <c r="B62" s="21" t="s">
        <v>636</v>
      </c>
      <c r="C62" s="21" t="s">
        <v>529</v>
      </c>
      <c r="D62" s="21">
        <v>5</v>
      </c>
      <c r="E62" s="21" t="s">
        <v>649</v>
      </c>
      <c r="F62" s="21" t="s">
        <v>650</v>
      </c>
      <c r="G62" s="21" t="s">
        <v>632</v>
      </c>
      <c r="H62" s="21" t="s">
        <v>533</v>
      </c>
      <c r="I62" s="21"/>
    </row>
    <row r="63" spans="1:9" ht="16.5" customHeight="1" x14ac:dyDescent="0.15">
      <c r="A63" s="25"/>
      <c r="B63" s="25" t="s">
        <v>636</v>
      </c>
      <c r="C63" s="25" t="s">
        <v>529</v>
      </c>
      <c r="D63" s="25">
        <v>5</v>
      </c>
      <c r="E63" s="25" t="s">
        <v>651</v>
      </c>
      <c r="F63" s="25" t="s">
        <v>652</v>
      </c>
      <c r="G63" s="25" t="s">
        <v>632</v>
      </c>
      <c r="H63" s="25" t="s">
        <v>533</v>
      </c>
      <c r="I63" s="25"/>
    </row>
    <row r="64" spans="1:9" ht="16.5" customHeight="1" x14ac:dyDescent="0.15">
      <c r="A64" s="21"/>
      <c r="B64" s="21" t="s">
        <v>636</v>
      </c>
      <c r="C64" s="21" t="s">
        <v>529</v>
      </c>
      <c r="D64" s="21">
        <v>5</v>
      </c>
      <c r="E64" s="21" t="s">
        <v>653</v>
      </c>
      <c r="F64" s="21" t="s">
        <v>654</v>
      </c>
      <c r="G64" s="21" t="s">
        <v>632</v>
      </c>
      <c r="H64" s="21" t="s">
        <v>533</v>
      </c>
      <c r="I64" s="21"/>
    </row>
    <row r="65" spans="1:9" ht="16.5" customHeight="1" x14ac:dyDescent="0.15">
      <c r="A65" s="25"/>
      <c r="B65" s="25" t="s">
        <v>636</v>
      </c>
      <c r="C65" s="25" t="s">
        <v>529</v>
      </c>
      <c r="D65" s="25">
        <v>5</v>
      </c>
      <c r="E65" s="25" t="s">
        <v>655</v>
      </c>
      <c r="F65" s="25" t="s">
        <v>656</v>
      </c>
      <c r="G65" s="25" t="s">
        <v>632</v>
      </c>
      <c r="H65" s="25" t="s">
        <v>533</v>
      </c>
      <c r="I65" s="25"/>
    </row>
    <row r="66" spans="1:9" ht="16.5" customHeight="1" x14ac:dyDescent="0.15">
      <c r="A66" s="21"/>
      <c r="B66" s="21" t="s">
        <v>636</v>
      </c>
      <c r="C66" s="21" t="s">
        <v>529</v>
      </c>
      <c r="D66" s="21">
        <v>5</v>
      </c>
      <c r="E66" s="21" t="s">
        <v>657</v>
      </c>
      <c r="F66" s="21" t="s">
        <v>658</v>
      </c>
      <c r="G66" s="21" t="s">
        <v>632</v>
      </c>
      <c r="H66" s="21" t="s">
        <v>533</v>
      </c>
      <c r="I66" s="21"/>
    </row>
    <row r="67" spans="1:9" ht="16.5" customHeight="1" x14ac:dyDescent="0.15">
      <c r="A67" s="25"/>
      <c r="B67" s="25" t="s">
        <v>636</v>
      </c>
      <c r="C67" s="25" t="s">
        <v>529</v>
      </c>
      <c r="D67" s="25">
        <v>5</v>
      </c>
      <c r="E67" s="25" t="s">
        <v>659</v>
      </c>
      <c r="F67" s="25" t="s">
        <v>660</v>
      </c>
      <c r="G67" s="25" t="s">
        <v>632</v>
      </c>
      <c r="H67" s="25" t="s">
        <v>533</v>
      </c>
      <c r="I67" s="25"/>
    </row>
    <row r="68" spans="1:9" ht="16.5" customHeight="1" x14ac:dyDescent="0.15">
      <c r="A68" s="21"/>
      <c r="B68" s="21" t="s">
        <v>636</v>
      </c>
      <c r="C68" s="21" t="s">
        <v>529</v>
      </c>
      <c r="D68" s="21">
        <v>5</v>
      </c>
      <c r="E68" s="21" t="s">
        <v>661</v>
      </c>
      <c r="F68" s="21" t="s">
        <v>662</v>
      </c>
      <c r="G68" s="21" t="s">
        <v>632</v>
      </c>
      <c r="H68" s="21" t="s">
        <v>533</v>
      </c>
      <c r="I68" s="21"/>
    </row>
    <row r="69" spans="1:9" ht="16.5" customHeight="1" x14ac:dyDescent="0.15">
      <c r="A69" s="25"/>
      <c r="B69" s="25" t="s">
        <v>636</v>
      </c>
      <c r="C69" s="25" t="s">
        <v>529</v>
      </c>
      <c r="D69" s="25">
        <v>5</v>
      </c>
      <c r="E69" s="25" t="s">
        <v>663</v>
      </c>
      <c r="F69" s="25" t="s">
        <v>664</v>
      </c>
      <c r="G69" s="25" t="s">
        <v>632</v>
      </c>
      <c r="H69" s="25" t="s">
        <v>533</v>
      </c>
      <c r="I69" s="25"/>
    </row>
    <row r="70" spans="1:9" ht="16.5" customHeight="1" x14ac:dyDescent="0.15">
      <c r="A70" s="21"/>
      <c r="B70" s="21" t="s">
        <v>636</v>
      </c>
      <c r="C70" s="21" t="s">
        <v>529</v>
      </c>
      <c r="D70" s="21">
        <v>5</v>
      </c>
      <c r="E70" s="21" t="s">
        <v>665</v>
      </c>
      <c r="F70" s="21" t="s">
        <v>666</v>
      </c>
      <c r="G70" s="21" t="s">
        <v>632</v>
      </c>
      <c r="H70" s="21" t="s">
        <v>533</v>
      </c>
      <c r="I70" s="21"/>
    </row>
    <row r="71" spans="1:9" ht="16.5" customHeight="1" x14ac:dyDescent="0.15">
      <c r="A71" s="25"/>
      <c r="B71" s="25" t="s">
        <v>636</v>
      </c>
      <c r="C71" s="25" t="s">
        <v>529</v>
      </c>
      <c r="D71" s="25">
        <v>5</v>
      </c>
      <c r="E71" s="25" t="s">
        <v>667</v>
      </c>
      <c r="F71" s="25" t="s">
        <v>668</v>
      </c>
      <c r="G71" s="25" t="s">
        <v>632</v>
      </c>
      <c r="H71" s="25" t="s">
        <v>533</v>
      </c>
      <c r="I71" s="25"/>
    </row>
    <row r="72" spans="1:9" ht="16.5" customHeight="1" x14ac:dyDescent="0.15">
      <c r="A72" s="21"/>
      <c r="B72" s="21" t="s">
        <v>636</v>
      </c>
      <c r="C72" s="21" t="s">
        <v>529</v>
      </c>
      <c r="D72" s="21">
        <v>5</v>
      </c>
      <c r="E72" s="21" t="s">
        <v>669</v>
      </c>
      <c r="F72" s="21" t="s">
        <v>670</v>
      </c>
      <c r="G72" s="21" t="s">
        <v>632</v>
      </c>
      <c r="H72" s="21" t="s">
        <v>533</v>
      </c>
      <c r="I72" s="21"/>
    </row>
    <row r="73" spans="1:9" ht="16.5" customHeight="1" x14ac:dyDescent="0.15">
      <c r="A73" s="25"/>
      <c r="B73" s="25" t="s">
        <v>636</v>
      </c>
      <c r="C73" s="25" t="s">
        <v>529</v>
      </c>
      <c r="D73" s="25">
        <v>5</v>
      </c>
      <c r="E73" s="25" t="s">
        <v>671</v>
      </c>
      <c r="F73" s="25" t="s">
        <v>672</v>
      </c>
      <c r="G73" s="25" t="s">
        <v>632</v>
      </c>
      <c r="H73" s="25" t="s">
        <v>533</v>
      </c>
      <c r="I73" s="25"/>
    </row>
    <row r="74" spans="1:9" ht="16.5" customHeight="1" x14ac:dyDescent="0.15">
      <c r="A74" s="21"/>
      <c r="B74" s="21" t="s">
        <v>673</v>
      </c>
      <c r="C74" s="21" t="s">
        <v>529</v>
      </c>
      <c r="D74" s="21">
        <v>5</v>
      </c>
      <c r="E74" s="21" t="s">
        <v>674</v>
      </c>
      <c r="F74" s="21" t="s">
        <v>675</v>
      </c>
      <c r="G74" s="21" t="s">
        <v>676</v>
      </c>
      <c r="H74" s="21" t="s">
        <v>533</v>
      </c>
      <c r="I74" s="21"/>
    </row>
    <row r="75" spans="1:9" ht="16.5" customHeight="1" x14ac:dyDescent="0.15">
      <c r="A75" s="25"/>
      <c r="B75" s="25" t="s">
        <v>673</v>
      </c>
      <c r="C75" s="25" t="s">
        <v>529</v>
      </c>
      <c r="D75" s="25">
        <v>5</v>
      </c>
      <c r="E75" s="25" t="s">
        <v>677</v>
      </c>
      <c r="F75" s="25" t="s">
        <v>678</v>
      </c>
      <c r="G75" s="25" t="s">
        <v>676</v>
      </c>
      <c r="H75" s="25" t="s">
        <v>533</v>
      </c>
      <c r="I75" s="25"/>
    </row>
    <row r="76" spans="1:9" ht="16.5" customHeight="1" x14ac:dyDescent="0.15">
      <c r="A76" s="21"/>
      <c r="B76" s="21" t="s">
        <v>673</v>
      </c>
      <c r="C76" s="21" t="s">
        <v>529</v>
      </c>
      <c r="D76" s="21">
        <v>5</v>
      </c>
      <c r="E76" s="21" t="s">
        <v>679</v>
      </c>
      <c r="F76" s="21" t="s">
        <v>680</v>
      </c>
      <c r="G76" s="21" t="s">
        <v>676</v>
      </c>
      <c r="H76" s="21" t="s">
        <v>533</v>
      </c>
      <c r="I76" s="21"/>
    </row>
    <row r="77" spans="1:9" ht="16.5" customHeight="1" x14ac:dyDescent="0.15">
      <c r="A77" s="25"/>
      <c r="B77" s="25" t="s">
        <v>673</v>
      </c>
      <c r="C77" s="25" t="s">
        <v>529</v>
      </c>
      <c r="D77" s="25">
        <v>5</v>
      </c>
      <c r="E77" s="25" t="s">
        <v>681</v>
      </c>
      <c r="F77" s="25" t="s">
        <v>682</v>
      </c>
      <c r="G77" s="25" t="s">
        <v>676</v>
      </c>
      <c r="H77" s="25" t="s">
        <v>533</v>
      </c>
      <c r="I77" s="25"/>
    </row>
    <row r="78" spans="1:9" ht="16.5" customHeight="1" x14ac:dyDescent="0.15">
      <c r="A78" s="21"/>
      <c r="B78" s="21" t="s">
        <v>673</v>
      </c>
      <c r="C78" s="21" t="s">
        <v>529</v>
      </c>
      <c r="D78" s="21">
        <v>5</v>
      </c>
      <c r="E78" s="21" t="s">
        <v>683</v>
      </c>
      <c r="F78" s="21" t="s">
        <v>684</v>
      </c>
      <c r="G78" s="21" t="s">
        <v>676</v>
      </c>
      <c r="H78" s="21" t="s">
        <v>533</v>
      </c>
      <c r="I78" s="21"/>
    </row>
    <row r="79" spans="1:9" ht="16.5" customHeight="1" x14ac:dyDescent="0.15">
      <c r="A79" s="25"/>
      <c r="B79" s="25" t="s">
        <v>673</v>
      </c>
      <c r="C79" s="25" t="s">
        <v>529</v>
      </c>
      <c r="D79" s="25">
        <v>5</v>
      </c>
      <c r="E79" s="25" t="s">
        <v>685</v>
      </c>
      <c r="F79" s="25" t="s">
        <v>686</v>
      </c>
      <c r="G79" s="25" t="s">
        <v>676</v>
      </c>
      <c r="H79" s="25" t="s">
        <v>533</v>
      </c>
      <c r="I79" s="25"/>
    </row>
    <row r="80" spans="1:9" ht="16.5" customHeight="1" x14ac:dyDescent="0.15">
      <c r="A80" s="21"/>
      <c r="B80" s="21" t="s">
        <v>673</v>
      </c>
      <c r="C80" s="21" t="s">
        <v>529</v>
      </c>
      <c r="D80" s="21">
        <v>5</v>
      </c>
      <c r="E80" s="21" t="s">
        <v>687</v>
      </c>
      <c r="F80" s="21" t="s">
        <v>688</v>
      </c>
      <c r="G80" s="21" t="s">
        <v>676</v>
      </c>
      <c r="H80" s="21" t="s">
        <v>533</v>
      </c>
      <c r="I80" s="21"/>
    </row>
    <row r="81" spans="1:9" ht="16.5" customHeight="1" x14ac:dyDescent="0.15">
      <c r="A81" s="25"/>
      <c r="B81" s="25" t="s">
        <v>673</v>
      </c>
      <c r="C81" s="25" t="s">
        <v>529</v>
      </c>
      <c r="D81" s="25">
        <v>5</v>
      </c>
      <c r="E81" s="25" t="s">
        <v>689</v>
      </c>
      <c r="F81" s="25" t="s">
        <v>690</v>
      </c>
      <c r="G81" s="25" t="s">
        <v>676</v>
      </c>
      <c r="H81" s="25" t="s">
        <v>533</v>
      </c>
      <c r="I81" s="25"/>
    </row>
    <row r="82" spans="1:9" ht="16.5" customHeight="1" x14ac:dyDescent="0.15">
      <c r="A82" s="21"/>
      <c r="B82" s="21" t="s">
        <v>673</v>
      </c>
      <c r="C82" s="21" t="s">
        <v>529</v>
      </c>
      <c r="D82" s="21">
        <v>5</v>
      </c>
      <c r="E82" s="21" t="s">
        <v>691</v>
      </c>
      <c r="F82" s="21" t="s">
        <v>692</v>
      </c>
      <c r="G82" s="21" t="s">
        <v>676</v>
      </c>
      <c r="H82" s="21" t="s">
        <v>533</v>
      </c>
      <c r="I82" s="21"/>
    </row>
    <row r="83" spans="1:9" ht="16.5" customHeight="1" x14ac:dyDescent="0.15">
      <c r="A83" s="25"/>
      <c r="B83" s="25" t="s">
        <v>673</v>
      </c>
      <c r="C83" s="25" t="s">
        <v>529</v>
      </c>
      <c r="D83" s="25">
        <v>5</v>
      </c>
      <c r="E83" s="25" t="s">
        <v>693</v>
      </c>
      <c r="F83" s="25" t="s">
        <v>694</v>
      </c>
      <c r="G83" s="25" t="s">
        <v>676</v>
      </c>
      <c r="H83" s="25" t="s">
        <v>533</v>
      </c>
      <c r="I83" s="25"/>
    </row>
    <row r="84" spans="1:9" ht="16.5" customHeight="1" x14ac:dyDescent="0.15">
      <c r="A84" s="21"/>
      <c r="B84" s="21" t="s">
        <v>695</v>
      </c>
      <c r="C84" s="21" t="s">
        <v>529</v>
      </c>
      <c r="D84" s="21">
        <v>5</v>
      </c>
      <c r="E84" s="21" t="s">
        <v>674</v>
      </c>
      <c r="F84" s="21" t="s">
        <v>696</v>
      </c>
      <c r="G84" s="21" t="s">
        <v>676</v>
      </c>
      <c r="H84" s="21" t="s">
        <v>533</v>
      </c>
      <c r="I84" s="21"/>
    </row>
    <row r="85" spans="1:9" ht="16.5" customHeight="1" x14ac:dyDescent="0.15">
      <c r="A85" s="25"/>
      <c r="B85" s="25" t="s">
        <v>695</v>
      </c>
      <c r="C85" s="25" t="s">
        <v>529</v>
      </c>
      <c r="D85" s="25">
        <v>5</v>
      </c>
      <c r="E85" s="25" t="s">
        <v>697</v>
      </c>
      <c r="F85" s="25" t="s">
        <v>698</v>
      </c>
      <c r="G85" s="25" t="s">
        <v>676</v>
      </c>
      <c r="H85" s="25" t="s">
        <v>533</v>
      </c>
      <c r="I85" s="25"/>
    </row>
    <row r="86" spans="1:9" ht="16.5" customHeight="1" x14ac:dyDescent="0.15">
      <c r="A86" s="21"/>
      <c r="B86" s="21" t="s">
        <v>695</v>
      </c>
      <c r="C86" s="21" t="s">
        <v>529</v>
      </c>
      <c r="D86" s="21">
        <v>5</v>
      </c>
      <c r="E86" s="21" t="s">
        <v>699</v>
      </c>
      <c r="F86" s="21" t="s">
        <v>700</v>
      </c>
      <c r="G86" s="21" t="s">
        <v>676</v>
      </c>
      <c r="H86" s="21" t="s">
        <v>533</v>
      </c>
      <c r="I86" s="21"/>
    </row>
    <row r="87" spans="1:9" ht="16.5" customHeight="1" x14ac:dyDescent="0.15">
      <c r="A87" s="25"/>
      <c r="B87" s="25" t="s">
        <v>695</v>
      </c>
      <c r="C87" s="25" t="s">
        <v>529</v>
      </c>
      <c r="D87" s="25">
        <v>5</v>
      </c>
      <c r="E87" s="25" t="s">
        <v>701</v>
      </c>
      <c r="F87" s="25" t="s">
        <v>702</v>
      </c>
      <c r="G87" s="25" t="s">
        <v>676</v>
      </c>
      <c r="H87" s="25" t="s">
        <v>533</v>
      </c>
      <c r="I87" s="25"/>
    </row>
    <row r="88" spans="1:9" ht="16.5" customHeight="1" x14ac:dyDescent="0.15">
      <c r="A88" s="21"/>
      <c r="B88" s="21" t="s">
        <v>695</v>
      </c>
      <c r="C88" s="21" t="s">
        <v>529</v>
      </c>
      <c r="D88" s="21">
        <v>5</v>
      </c>
      <c r="E88" s="21" t="s">
        <v>703</v>
      </c>
      <c r="F88" s="21" t="s">
        <v>704</v>
      </c>
      <c r="G88" s="21" t="s">
        <v>676</v>
      </c>
      <c r="H88" s="21" t="s">
        <v>533</v>
      </c>
      <c r="I88" s="21"/>
    </row>
    <row r="89" spans="1:9" ht="16.5" customHeight="1" x14ac:dyDescent="0.15">
      <c r="A89" s="25"/>
      <c r="B89" s="25" t="s">
        <v>695</v>
      </c>
      <c r="C89" s="25" t="s">
        <v>529</v>
      </c>
      <c r="D89" s="25">
        <v>5</v>
      </c>
      <c r="E89" s="25" t="s">
        <v>705</v>
      </c>
      <c r="F89" s="25" t="s">
        <v>706</v>
      </c>
      <c r="G89" s="25" t="s">
        <v>676</v>
      </c>
      <c r="H89" s="25" t="s">
        <v>533</v>
      </c>
      <c r="I89" s="25"/>
    </row>
    <row r="90" spans="1:9" ht="16.5" customHeight="1" x14ac:dyDescent="0.15">
      <c r="A90" s="21"/>
      <c r="B90" s="21" t="s">
        <v>707</v>
      </c>
      <c r="C90" s="21" t="s">
        <v>529</v>
      </c>
      <c r="D90" s="21">
        <v>5</v>
      </c>
      <c r="E90" s="21" t="s">
        <v>708</v>
      </c>
      <c r="F90" s="21" t="s">
        <v>709</v>
      </c>
      <c r="G90" s="21" t="s">
        <v>676</v>
      </c>
      <c r="H90" s="21" t="s">
        <v>533</v>
      </c>
      <c r="I90" s="21"/>
    </row>
    <row r="91" spans="1:9" ht="16.5" customHeight="1" x14ac:dyDescent="0.15">
      <c r="A91" s="25"/>
      <c r="B91" s="25" t="s">
        <v>707</v>
      </c>
      <c r="C91" s="25" t="s">
        <v>529</v>
      </c>
      <c r="D91" s="25">
        <v>5</v>
      </c>
      <c r="E91" s="25" t="s">
        <v>710</v>
      </c>
      <c r="F91" s="25" t="s">
        <v>711</v>
      </c>
      <c r="G91" s="25" t="s">
        <v>676</v>
      </c>
      <c r="H91" s="25" t="s">
        <v>533</v>
      </c>
      <c r="I91" s="25"/>
    </row>
    <row r="92" spans="1:9" ht="16.5" customHeight="1" x14ac:dyDescent="0.15">
      <c r="A92" s="21"/>
      <c r="B92" s="21" t="s">
        <v>707</v>
      </c>
      <c r="C92" s="21" t="s">
        <v>529</v>
      </c>
      <c r="D92" s="21">
        <v>5</v>
      </c>
      <c r="E92" s="21" t="s">
        <v>712</v>
      </c>
      <c r="F92" s="21" t="s">
        <v>713</v>
      </c>
      <c r="G92" s="21" t="s">
        <v>676</v>
      </c>
      <c r="H92" s="21" t="s">
        <v>533</v>
      </c>
      <c r="I92" s="21"/>
    </row>
    <row r="93" spans="1:9" ht="16.5" customHeight="1" x14ac:dyDescent="0.15">
      <c r="A93" s="25"/>
      <c r="B93" s="25" t="s">
        <v>707</v>
      </c>
      <c r="C93" s="25" t="s">
        <v>529</v>
      </c>
      <c r="D93" s="25">
        <v>5</v>
      </c>
      <c r="E93" s="25" t="s">
        <v>714</v>
      </c>
      <c r="F93" s="25" t="s">
        <v>715</v>
      </c>
      <c r="G93" s="25" t="s">
        <v>676</v>
      </c>
      <c r="H93" s="25" t="s">
        <v>533</v>
      </c>
      <c r="I93" s="25"/>
    </row>
    <row r="94" spans="1:9" ht="16.5" customHeight="1" x14ac:dyDescent="0.15">
      <c r="A94" s="21"/>
      <c r="B94" s="21" t="s">
        <v>707</v>
      </c>
      <c r="C94" s="21" t="s">
        <v>529</v>
      </c>
      <c r="D94" s="21">
        <v>5</v>
      </c>
      <c r="E94" s="21" t="s">
        <v>716</v>
      </c>
      <c r="F94" s="21" t="s">
        <v>717</v>
      </c>
      <c r="G94" s="21" t="s">
        <v>676</v>
      </c>
      <c r="H94" s="21" t="s">
        <v>533</v>
      </c>
      <c r="I94" s="21"/>
    </row>
    <row r="95" spans="1:9" ht="16.5" customHeight="1" x14ac:dyDescent="0.15">
      <c r="A95" s="25"/>
      <c r="B95" s="25" t="s">
        <v>707</v>
      </c>
      <c r="C95" s="25" t="s">
        <v>529</v>
      </c>
      <c r="D95" s="25">
        <v>5</v>
      </c>
      <c r="E95" s="25" t="s">
        <v>718</v>
      </c>
      <c r="F95" s="25" t="s">
        <v>719</v>
      </c>
      <c r="G95" s="25" t="s">
        <v>676</v>
      </c>
      <c r="H95" s="25" t="s">
        <v>533</v>
      </c>
      <c r="I95" s="25"/>
    </row>
    <row r="96" spans="1:9" ht="16.5" customHeight="1" x14ac:dyDescent="0.15">
      <c r="A96" s="21"/>
      <c r="B96" s="21" t="s">
        <v>707</v>
      </c>
      <c r="C96" s="21" t="s">
        <v>529</v>
      </c>
      <c r="D96" s="21">
        <v>5</v>
      </c>
      <c r="E96" s="21" t="s">
        <v>720</v>
      </c>
      <c r="F96" s="21" t="s">
        <v>721</v>
      </c>
      <c r="G96" s="21" t="s">
        <v>676</v>
      </c>
      <c r="H96" s="21" t="s">
        <v>533</v>
      </c>
      <c r="I96" s="21"/>
    </row>
    <row r="97" spans="1:9" ht="16.5" customHeight="1" x14ac:dyDescent="0.15">
      <c r="A97" s="25"/>
      <c r="B97" s="25" t="s">
        <v>707</v>
      </c>
      <c r="C97" s="25" t="s">
        <v>529</v>
      </c>
      <c r="D97" s="25">
        <v>5</v>
      </c>
      <c r="E97" s="25" t="s">
        <v>722</v>
      </c>
      <c r="F97" s="25" t="s">
        <v>723</v>
      </c>
      <c r="G97" s="25" t="s">
        <v>676</v>
      </c>
      <c r="H97" s="25" t="s">
        <v>533</v>
      </c>
      <c r="I97" s="25"/>
    </row>
    <row r="98" spans="1:9" ht="16.5" customHeight="1" x14ac:dyDescent="0.15">
      <c r="A98" s="21"/>
      <c r="B98" s="21" t="s">
        <v>707</v>
      </c>
      <c r="C98" s="21" t="s">
        <v>529</v>
      </c>
      <c r="D98" s="21">
        <v>5</v>
      </c>
      <c r="E98" s="21" t="s">
        <v>724</v>
      </c>
      <c r="F98" s="21" t="s">
        <v>725</v>
      </c>
      <c r="G98" s="21" t="s">
        <v>676</v>
      </c>
      <c r="H98" s="21" t="s">
        <v>533</v>
      </c>
      <c r="I98" s="21"/>
    </row>
    <row r="99" spans="1:9" ht="16.5" customHeight="1" x14ac:dyDescent="0.15">
      <c r="A99" s="25"/>
      <c r="B99" s="25" t="s">
        <v>707</v>
      </c>
      <c r="C99" s="25" t="s">
        <v>529</v>
      </c>
      <c r="D99" s="25">
        <v>5</v>
      </c>
      <c r="E99" s="25" t="s">
        <v>726</v>
      </c>
      <c r="F99" s="25" t="s">
        <v>727</v>
      </c>
      <c r="G99" s="25" t="s">
        <v>676</v>
      </c>
      <c r="H99" s="25" t="s">
        <v>533</v>
      </c>
      <c r="I99" s="25"/>
    </row>
    <row r="100" spans="1:9" ht="16.5" customHeight="1" x14ac:dyDescent="0.15">
      <c r="A100" s="21"/>
      <c r="B100" s="21" t="s">
        <v>728</v>
      </c>
      <c r="C100" s="21" t="s">
        <v>529</v>
      </c>
      <c r="D100" s="21">
        <v>5</v>
      </c>
      <c r="E100" s="21" t="s">
        <v>729</v>
      </c>
      <c r="F100" s="21" t="s">
        <v>730</v>
      </c>
      <c r="G100" s="21" t="s">
        <v>731</v>
      </c>
      <c r="H100" s="21" t="s">
        <v>533</v>
      </c>
      <c r="I100" s="21"/>
    </row>
    <row r="101" spans="1:9" ht="16.5" customHeight="1" x14ac:dyDescent="0.15">
      <c r="A101" s="25"/>
      <c r="B101" s="25" t="s">
        <v>728</v>
      </c>
      <c r="C101" s="25" t="s">
        <v>529</v>
      </c>
      <c r="D101" s="25">
        <v>5</v>
      </c>
      <c r="E101" s="25" t="s">
        <v>732</v>
      </c>
      <c r="F101" s="25" t="s">
        <v>733</v>
      </c>
      <c r="G101" s="25" t="s">
        <v>731</v>
      </c>
      <c r="H101" s="25" t="s">
        <v>533</v>
      </c>
      <c r="I101" s="25"/>
    </row>
    <row r="102" spans="1:9" ht="16.5" customHeight="1" x14ac:dyDescent="0.15">
      <c r="A102" s="21"/>
      <c r="B102" s="21" t="s">
        <v>728</v>
      </c>
      <c r="C102" s="21" t="s">
        <v>529</v>
      </c>
      <c r="D102" s="21">
        <v>5</v>
      </c>
      <c r="E102" s="21" t="s">
        <v>734</v>
      </c>
      <c r="F102" s="21" t="s">
        <v>735</v>
      </c>
      <c r="G102" s="21" t="s">
        <v>731</v>
      </c>
      <c r="H102" s="21" t="s">
        <v>533</v>
      </c>
      <c r="I102" s="21"/>
    </row>
    <row r="103" spans="1:9" ht="16.5" customHeight="1" x14ac:dyDescent="0.15">
      <c r="A103" s="25"/>
      <c r="B103" s="25" t="s">
        <v>728</v>
      </c>
      <c r="C103" s="25" t="s">
        <v>529</v>
      </c>
      <c r="D103" s="25">
        <v>5</v>
      </c>
      <c r="E103" s="25" t="s">
        <v>736</v>
      </c>
      <c r="F103" s="25" t="s">
        <v>737</v>
      </c>
      <c r="G103" s="25" t="s">
        <v>731</v>
      </c>
      <c r="H103" s="25" t="s">
        <v>533</v>
      </c>
      <c r="I103" s="25"/>
    </row>
    <row r="104" spans="1:9" ht="16.5" customHeight="1" x14ac:dyDescent="0.15">
      <c r="A104" s="21"/>
      <c r="B104" s="21" t="s">
        <v>728</v>
      </c>
      <c r="C104" s="21" t="s">
        <v>529</v>
      </c>
      <c r="D104" s="21">
        <v>5</v>
      </c>
      <c r="E104" s="21" t="s">
        <v>738</v>
      </c>
      <c r="F104" s="21" t="s">
        <v>739</v>
      </c>
      <c r="G104" s="21" t="s">
        <v>731</v>
      </c>
      <c r="H104" s="21" t="s">
        <v>533</v>
      </c>
      <c r="I104" s="21"/>
    </row>
    <row r="105" spans="1:9" ht="16.5" customHeight="1" x14ac:dyDescent="0.15">
      <c r="A105" s="25"/>
      <c r="B105" s="25" t="s">
        <v>728</v>
      </c>
      <c r="C105" s="25" t="s">
        <v>529</v>
      </c>
      <c r="D105" s="25">
        <v>5</v>
      </c>
      <c r="E105" s="25" t="s">
        <v>740</v>
      </c>
      <c r="F105" s="25" t="s">
        <v>741</v>
      </c>
      <c r="G105" s="25" t="s">
        <v>731</v>
      </c>
      <c r="H105" s="25" t="s">
        <v>533</v>
      </c>
      <c r="I105" s="25"/>
    </row>
    <row r="106" spans="1:9" ht="16.5" customHeight="1" x14ac:dyDescent="0.15">
      <c r="A106" s="21"/>
      <c r="B106" s="21" t="s">
        <v>728</v>
      </c>
      <c r="C106" s="21" t="s">
        <v>529</v>
      </c>
      <c r="D106" s="21">
        <v>5</v>
      </c>
      <c r="E106" s="21" t="s">
        <v>742</v>
      </c>
      <c r="F106" s="21" t="s">
        <v>743</v>
      </c>
      <c r="G106" s="21" t="s">
        <v>731</v>
      </c>
      <c r="H106" s="21" t="s">
        <v>533</v>
      </c>
      <c r="I106" s="21"/>
    </row>
    <row r="107" spans="1:9" ht="16.5" customHeight="1" x14ac:dyDescent="0.15">
      <c r="A107" s="25"/>
      <c r="B107" s="25" t="s">
        <v>728</v>
      </c>
      <c r="C107" s="25" t="s">
        <v>529</v>
      </c>
      <c r="D107" s="25">
        <v>5</v>
      </c>
      <c r="E107" s="25" t="s">
        <v>744</v>
      </c>
      <c r="F107" s="25" t="s">
        <v>745</v>
      </c>
      <c r="G107" s="25" t="s">
        <v>731</v>
      </c>
      <c r="H107" s="25" t="s">
        <v>533</v>
      </c>
      <c r="I107" s="25"/>
    </row>
    <row r="108" spans="1:9" ht="16.5" customHeight="1" x14ac:dyDescent="0.15">
      <c r="A108" s="21"/>
      <c r="B108" s="21" t="s">
        <v>728</v>
      </c>
      <c r="C108" s="21" t="s">
        <v>529</v>
      </c>
      <c r="D108" s="21">
        <v>5</v>
      </c>
      <c r="E108" s="21" t="s">
        <v>746</v>
      </c>
      <c r="F108" s="21" t="s">
        <v>747</v>
      </c>
      <c r="G108" s="21" t="s">
        <v>731</v>
      </c>
      <c r="H108" s="21" t="s">
        <v>533</v>
      </c>
      <c r="I108" s="21"/>
    </row>
    <row r="109" spans="1:9" ht="16.5" customHeight="1" x14ac:dyDescent="0.15">
      <c r="A109" s="25"/>
      <c r="B109" s="25" t="s">
        <v>728</v>
      </c>
      <c r="C109" s="25" t="s">
        <v>529</v>
      </c>
      <c r="D109" s="25">
        <v>5</v>
      </c>
      <c r="E109" s="25" t="s">
        <v>748</v>
      </c>
      <c r="F109" s="25" t="s">
        <v>749</v>
      </c>
      <c r="G109" s="25" t="s">
        <v>731</v>
      </c>
      <c r="H109" s="25" t="s">
        <v>533</v>
      </c>
      <c r="I109" s="25"/>
    </row>
    <row r="110" spans="1:9" ht="16.5" customHeight="1" x14ac:dyDescent="0.15">
      <c r="A110" s="21"/>
      <c r="B110" s="21" t="s">
        <v>750</v>
      </c>
      <c r="C110" s="21" t="s">
        <v>529</v>
      </c>
      <c r="D110" s="21">
        <v>5</v>
      </c>
      <c r="E110" s="21" t="s">
        <v>751</v>
      </c>
      <c r="F110" s="21" t="s">
        <v>752</v>
      </c>
      <c r="G110" s="21" t="s">
        <v>731</v>
      </c>
      <c r="H110" s="21" t="s">
        <v>533</v>
      </c>
      <c r="I110" s="21"/>
    </row>
    <row r="111" spans="1:9" ht="16.5" customHeight="1" x14ac:dyDescent="0.15">
      <c r="A111" s="25"/>
      <c r="B111" s="25" t="s">
        <v>750</v>
      </c>
      <c r="C111" s="25" t="s">
        <v>529</v>
      </c>
      <c r="D111" s="25">
        <v>5</v>
      </c>
      <c r="E111" s="25" t="s">
        <v>753</v>
      </c>
      <c r="F111" s="25" t="s">
        <v>754</v>
      </c>
      <c r="G111" s="25" t="s">
        <v>731</v>
      </c>
      <c r="H111" s="25" t="s">
        <v>533</v>
      </c>
      <c r="I111" s="25"/>
    </row>
    <row r="112" spans="1:9" ht="16.5" customHeight="1" x14ac:dyDescent="0.15">
      <c r="A112" s="21"/>
      <c r="B112" s="21" t="s">
        <v>750</v>
      </c>
      <c r="C112" s="21" t="s">
        <v>529</v>
      </c>
      <c r="D112" s="21">
        <v>5</v>
      </c>
      <c r="E112" s="21" t="s">
        <v>755</v>
      </c>
      <c r="F112" s="21" t="s">
        <v>756</v>
      </c>
      <c r="G112" s="21" t="s">
        <v>731</v>
      </c>
      <c r="H112" s="21" t="s">
        <v>533</v>
      </c>
      <c r="I112" s="21"/>
    </row>
    <row r="113" spans="1:9" ht="16.5" customHeight="1" x14ac:dyDescent="0.15">
      <c r="A113" s="25"/>
      <c r="B113" s="25" t="s">
        <v>757</v>
      </c>
      <c r="C113" s="25" t="s">
        <v>529</v>
      </c>
      <c r="D113" s="25">
        <v>5</v>
      </c>
      <c r="E113" s="25" t="s">
        <v>758</v>
      </c>
      <c r="F113" s="25" t="s">
        <v>759</v>
      </c>
      <c r="G113" s="25" t="s">
        <v>731</v>
      </c>
      <c r="H113" s="25" t="s">
        <v>533</v>
      </c>
      <c r="I113" s="25"/>
    </row>
    <row r="114" spans="1:9" ht="16.5" customHeight="1" x14ac:dyDescent="0.15">
      <c r="A114" s="21"/>
      <c r="B114" s="21" t="s">
        <v>757</v>
      </c>
      <c r="C114" s="21" t="s">
        <v>529</v>
      </c>
      <c r="D114" s="21">
        <v>5</v>
      </c>
      <c r="E114" s="21" t="s">
        <v>760</v>
      </c>
      <c r="F114" s="21" t="s">
        <v>761</v>
      </c>
      <c r="G114" s="21" t="s">
        <v>731</v>
      </c>
      <c r="H114" s="21" t="s">
        <v>533</v>
      </c>
      <c r="I114" s="21"/>
    </row>
    <row r="115" spans="1:9" ht="16.5" customHeight="1" x14ac:dyDescent="0.15">
      <c r="A115" s="25"/>
      <c r="B115" s="25" t="s">
        <v>757</v>
      </c>
      <c r="C115" s="25" t="s">
        <v>529</v>
      </c>
      <c r="D115" s="25">
        <v>5</v>
      </c>
      <c r="E115" s="25" t="s">
        <v>762</v>
      </c>
      <c r="F115" s="25" t="s">
        <v>763</v>
      </c>
      <c r="G115" s="25" t="s">
        <v>731</v>
      </c>
      <c r="H115" s="25" t="s">
        <v>533</v>
      </c>
      <c r="I115" s="25"/>
    </row>
    <row r="116" spans="1:9" ht="16.5" customHeight="1" x14ac:dyDescent="0.15">
      <c r="A116" s="21"/>
      <c r="B116" s="21" t="s">
        <v>757</v>
      </c>
      <c r="C116" s="21" t="s">
        <v>529</v>
      </c>
      <c r="D116" s="21">
        <v>5</v>
      </c>
      <c r="E116" s="21" t="s">
        <v>764</v>
      </c>
      <c r="F116" s="21" t="s">
        <v>765</v>
      </c>
      <c r="G116" s="21" t="s">
        <v>731</v>
      </c>
      <c r="H116" s="21" t="s">
        <v>533</v>
      </c>
      <c r="I116" s="21"/>
    </row>
    <row r="117" spans="1:9" ht="16.5" customHeight="1" x14ac:dyDescent="0.15">
      <c r="A117" s="25"/>
      <c r="B117" s="25" t="s">
        <v>757</v>
      </c>
      <c r="C117" s="25" t="s">
        <v>529</v>
      </c>
      <c r="D117" s="25">
        <v>5</v>
      </c>
      <c r="E117" s="25" t="s">
        <v>766</v>
      </c>
      <c r="F117" s="25" t="s">
        <v>767</v>
      </c>
      <c r="G117" s="25" t="s">
        <v>731</v>
      </c>
      <c r="H117" s="25" t="s">
        <v>533</v>
      </c>
      <c r="I117" s="25"/>
    </row>
    <row r="118" spans="1:9" ht="16.5" customHeight="1" x14ac:dyDescent="0.15">
      <c r="A118" s="21"/>
      <c r="B118" s="21" t="s">
        <v>757</v>
      </c>
      <c r="C118" s="21" t="s">
        <v>529</v>
      </c>
      <c r="D118" s="21">
        <v>5</v>
      </c>
      <c r="E118" s="21" t="s">
        <v>768</v>
      </c>
      <c r="F118" s="21" t="s">
        <v>769</v>
      </c>
      <c r="G118" s="21" t="s">
        <v>731</v>
      </c>
      <c r="H118" s="21" t="s">
        <v>533</v>
      </c>
      <c r="I118" s="21"/>
    </row>
    <row r="119" spans="1:9" ht="16.5" customHeight="1" x14ac:dyDescent="0.15">
      <c r="A119" s="25"/>
      <c r="B119" s="25" t="s">
        <v>757</v>
      </c>
      <c r="C119" s="25" t="s">
        <v>529</v>
      </c>
      <c r="D119" s="25">
        <v>5</v>
      </c>
      <c r="E119" s="25" t="s">
        <v>770</v>
      </c>
      <c r="F119" s="25" t="s">
        <v>771</v>
      </c>
      <c r="G119" s="25" t="s">
        <v>731</v>
      </c>
      <c r="H119" s="25" t="s">
        <v>533</v>
      </c>
      <c r="I119" s="25"/>
    </row>
    <row r="120" spans="1:9" ht="16.5" customHeight="1" x14ac:dyDescent="0.15">
      <c r="A120" s="21"/>
      <c r="B120" s="21" t="s">
        <v>757</v>
      </c>
      <c r="C120" s="21" t="s">
        <v>529</v>
      </c>
      <c r="D120" s="21">
        <v>5</v>
      </c>
      <c r="E120" s="21" t="s">
        <v>772</v>
      </c>
      <c r="F120" s="21" t="s">
        <v>773</v>
      </c>
      <c r="G120" s="21" t="s">
        <v>731</v>
      </c>
      <c r="H120" s="21" t="s">
        <v>533</v>
      </c>
      <c r="I120" s="21"/>
    </row>
    <row r="121" spans="1:9" ht="16.5" customHeight="1" x14ac:dyDescent="0.15">
      <c r="A121" s="25"/>
      <c r="B121" s="25" t="s">
        <v>750</v>
      </c>
      <c r="C121" s="25" t="s">
        <v>529</v>
      </c>
      <c r="D121" s="25">
        <v>5</v>
      </c>
      <c r="E121" s="25" t="s">
        <v>774</v>
      </c>
      <c r="F121" s="25" t="s">
        <v>775</v>
      </c>
      <c r="G121" s="25" t="s">
        <v>776</v>
      </c>
      <c r="H121" s="25" t="s">
        <v>533</v>
      </c>
      <c r="I121" s="25"/>
    </row>
    <row r="122" spans="1:9" ht="16.5" customHeight="1" x14ac:dyDescent="0.15">
      <c r="A122" s="21"/>
      <c r="B122" s="21" t="s">
        <v>750</v>
      </c>
      <c r="C122" s="21" t="s">
        <v>529</v>
      </c>
      <c r="D122" s="21">
        <v>5</v>
      </c>
      <c r="E122" s="21" t="s">
        <v>777</v>
      </c>
      <c r="F122" s="21" t="s">
        <v>778</v>
      </c>
      <c r="G122" s="21" t="s">
        <v>776</v>
      </c>
      <c r="H122" s="21" t="s">
        <v>533</v>
      </c>
      <c r="I122" s="21"/>
    </row>
    <row r="123" spans="1:9" ht="16.5" customHeight="1" x14ac:dyDescent="0.15">
      <c r="A123" s="25"/>
      <c r="B123" s="25" t="s">
        <v>750</v>
      </c>
      <c r="C123" s="25" t="s">
        <v>529</v>
      </c>
      <c r="D123" s="25">
        <v>5</v>
      </c>
      <c r="E123" s="25" t="s">
        <v>779</v>
      </c>
      <c r="F123" s="25" t="s">
        <v>780</v>
      </c>
      <c r="G123" s="25" t="s">
        <v>776</v>
      </c>
      <c r="H123" s="25" t="s">
        <v>533</v>
      </c>
      <c r="I123" s="25"/>
    </row>
    <row r="124" spans="1:9" ht="16.5" customHeight="1" x14ac:dyDescent="0.15">
      <c r="A124" s="21"/>
      <c r="B124" s="21" t="s">
        <v>750</v>
      </c>
      <c r="C124" s="21" t="s">
        <v>529</v>
      </c>
      <c r="D124" s="21">
        <v>5</v>
      </c>
      <c r="E124" s="21" t="s">
        <v>781</v>
      </c>
      <c r="F124" s="21" t="s">
        <v>782</v>
      </c>
      <c r="G124" s="21" t="s">
        <v>776</v>
      </c>
      <c r="H124" s="21" t="s">
        <v>533</v>
      </c>
      <c r="I124" s="21"/>
    </row>
    <row r="125" spans="1:9" ht="16.5" customHeight="1" x14ac:dyDescent="0.15">
      <c r="A125" s="25"/>
      <c r="B125" s="25" t="s">
        <v>750</v>
      </c>
      <c r="C125" s="25" t="s">
        <v>529</v>
      </c>
      <c r="D125" s="25">
        <v>5</v>
      </c>
      <c r="E125" s="25" t="s">
        <v>783</v>
      </c>
      <c r="F125" s="25" t="s">
        <v>784</v>
      </c>
      <c r="G125" s="25" t="s">
        <v>776</v>
      </c>
      <c r="H125" s="25" t="s">
        <v>533</v>
      </c>
      <c r="I125" s="25"/>
    </row>
    <row r="126" spans="1:9" ht="16.5" customHeight="1" x14ac:dyDescent="0.15">
      <c r="A126" s="21"/>
      <c r="B126" s="21" t="s">
        <v>750</v>
      </c>
      <c r="C126" s="21" t="s">
        <v>529</v>
      </c>
      <c r="D126" s="21">
        <v>5</v>
      </c>
      <c r="E126" s="21" t="s">
        <v>785</v>
      </c>
      <c r="F126" s="21" t="s">
        <v>786</v>
      </c>
      <c r="G126" s="21" t="s">
        <v>776</v>
      </c>
      <c r="H126" s="21" t="s">
        <v>533</v>
      </c>
      <c r="I126" s="21"/>
    </row>
    <row r="127" spans="1:9" ht="16.5" customHeight="1" x14ac:dyDescent="0.15">
      <c r="A127" s="25"/>
      <c r="B127" s="25" t="s">
        <v>750</v>
      </c>
      <c r="C127" s="25" t="s">
        <v>529</v>
      </c>
      <c r="D127" s="25">
        <v>5</v>
      </c>
      <c r="E127" s="25" t="s">
        <v>787</v>
      </c>
      <c r="F127" s="25" t="s">
        <v>788</v>
      </c>
      <c r="G127" s="25" t="s">
        <v>776</v>
      </c>
      <c r="H127" s="25" t="s">
        <v>533</v>
      </c>
      <c r="I127" s="25"/>
    </row>
    <row r="128" spans="1:9" ht="16.5" customHeight="1" x14ac:dyDescent="0.15">
      <c r="A128" s="21"/>
      <c r="B128" s="21" t="s">
        <v>750</v>
      </c>
      <c r="C128" s="21" t="s">
        <v>529</v>
      </c>
      <c r="D128" s="21">
        <v>5</v>
      </c>
      <c r="E128" s="21" t="s">
        <v>787</v>
      </c>
      <c r="F128" s="21" t="s">
        <v>789</v>
      </c>
      <c r="G128" s="21" t="s">
        <v>776</v>
      </c>
      <c r="H128" s="21" t="s">
        <v>533</v>
      </c>
      <c r="I128" s="21"/>
    </row>
    <row r="129" spans="1:9" ht="16.5" customHeight="1" x14ac:dyDescent="0.15">
      <c r="A129" s="25"/>
      <c r="B129" s="25" t="s">
        <v>750</v>
      </c>
      <c r="C129" s="25" t="s">
        <v>529</v>
      </c>
      <c r="D129" s="25">
        <v>5</v>
      </c>
      <c r="E129" s="25" t="s">
        <v>787</v>
      </c>
      <c r="F129" s="25" t="s">
        <v>790</v>
      </c>
      <c r="G129" s="25" t="s">
        <v>776</v>
      </c>
      <c r="H129" s="25" t="s">
        <v>533</v>
      </c>
      <c r="I129" s="25"/>
    </row>
    <row r="130" spans="1:9" ht="16.5" customHeight="1" x14ac:dyDescent="0.15">
      <c r="A130" s="21"/>
      <c r="B130" s="21" t="s">
        <v>750</v>
      </c>
      <c r="C130" s="21" t="s">
        <v>529</v>
      </c>
      <c r="D130" s="21">
        <v>5</v>
      </c>
      <c r="E130" s="21" t="s">
        <v>791</v>
      </c>
      <c r="F130" s="21" t="s">
        <v>792</v>
      </c>
      <c r="G130" s="21" t="s">
        <v>776</v>
      </c>
      <c r="H130" s="21" t="s">
        <v>533</v>
      </c>
      <c r="I130" s="21"/>
    </row>
    <row r="131" spans="1:9" ht="16.5" customHeight="1" x14ac:dyDescent="0.15">
      <c r="A131" s="25"/>
      <c r="B131" s="25" t="s">
        <v>750</v>
      </c>
      <c r="C131" s="25" t="s">
        <v>529</v>
      </c>
      <c r="D131" s="25">
        <v>5</v>
      </c>
      <c r="E131" s="25" t="s">
        <v>793</v>
      </c>
      <c r="F131" s="25" t="s">
        <v>794</v>
      </c>
      <c r="G131" s="25" t="s">
        <v>776</v>
      </c>
      <c r="H131" s="25" t="s">
        <v>533</v>
      </c>
      <c r="I131" s="25"/>
    </row>
    <row r="132" spans="1:9" ht="16.5" customHeight="1" x14ac:dyDescent="0.15">
      <c r="A132" s="21"/>
      <c r="B132" s="21" t="s">
        <v>750</v>
      </c>
      <c r="C132" s="21" t="s">
        <v>529</v>
      </c>
      <c r="D132" s="21">
        <v>5</v>
      </c>
      <c r="E132" s="21" t="s">
        <v>795</v>
      </c>
      <c r="F132" s="21" t="s">
        <v>796</v>
      </c>
      <c r="G132" s="21" t="s">
        <v>776</v>
      </c>
      <c r="H132" s="21" t="s">
        <v>533</v>
      </c>
      <c r="I132" s="21"/>
    </row>
    <row r="133" spans="1:9" ht="16.5" customHeight="1" x14ac:dyDescent="0.15">
      <c r="A133" s="25"/>
      <c r="B133" s="25" t="s">
        <v>750</v>
      </c>
      <c r="C133" s="25" t="s">
        <v>529</v>
      </c>
      <c r="D133" s="25">
        <v>5</v>
      </c>
      <c r="E133" s="25" t="s">
        <v>797</v>
      </c>
      <c r="F133" s="25" t="s">
        <v>798</v>
      </c>
      <c r="G133" s="25" t="s">
        <v>776</v>
      </c>
      <c r="H133" s="25" t="s">
        <v>533</v>
      </c>
      <c r="I133" s="25"/>
    </row>
    <row r="134" spans="1:9" ht="16.5" customHeight="1" x14ac:dyDescent="0.15">
      <c r="A134" s="21"/>
      <c r="B134" s="21" t="s">
        <v>750</v>
      </c>
      <c r="C134" s="21" t="s">
        <v>529</v>
      </c>
      <c r="D134" s="21">
        <v>5</v>
      </c>
      <c r="E134" s="21" t="s">
        <v>799</v>
      </c>
      <c r="F134" s="21" t="s">
        <v>800</v>
      </c>
      <c r="G134" s="21" t="s">
        <v>776</v>
      </c>
      <c r="H134" s="21" t="s">
        <v>533</v>
      </c>
      <c r="I134" s="21"/>
    </row>
    <row r="135" spans="1:9" ht="16.5" customHeight="1" x14ac:dyDescent="0.15">
      <c r="A135" s="25"/>
      <c r="B135" s="25" t="s">
        <v>750</v>
      </c>
      <c r="C135" s="25" t="s">
        <v>529</v>
      </c>
      <c r="D135" s="25">
        <v>5</v>
      </c>
      <c r="E135" s="25" t="s">
        <v>801</v>
      </c>
      <c r="F135" s="25" t="s">
        <v>802</v>
      </c>
      <c r="G135" s="25" t="s">
        <v>776</v>
      </c>
      <c r="H135" s="25" t="s">
        <v>533</v>
      </c>
      <c r="I135" s="25"/>
    </row>
    <row r="136" spans="1:9" ht="16.5" customHeight="1" x14ac:dyDescent="0.15">
      <c r="A136" s="21"/>
      <c r="B136" s="21" t="s">
        <v>803</v>
      </c>
      <c r="C136" s="21" t="s">
        <v>529</v>
      </c>
      <c r="D136" s="21">
        <v>5</v>
      </c>
      <c r="E136" s="21" t="s">
        <v>804</v>
      </c>
      <c r="F136" s="21" t="s">
        <v>805</v>
      </c>
      <c r="G136" s="21" t="s">
        <v>806</v>
      </c>
      <c r="H136" s="21" t="s">
        <v>533</v>
      </c>
      <c r="I136" s="21"/>
    </row>
    <row r="137" spans="1:9" ht="16.5" customHeight="1" x14ac:dyDescent="0.15">
      <c r="A137" s="25"/>
      <c r="B137" s="25" t="s">
        <v>803</v>
      </c>
      <c r="C137" s="25" t="s">
        <v>529</v>
      </c>
      <c r="D137" s="25">
        <v>5</v>
      </c>
      <c r="E137" s="25" t="s">
        <v>807</v>
      </c>
      <c r="F137" s="25" t="s">
        <v>808</v>
      </c>
      <c r="G137" s="25" t="s">
        <v>806</v>
      </c>
      <c r="H137" s="25" t="s">
        <v>533</v>
      </c>
      <c r="I137" s="25"/>
    </row>
    <row r="138" spans="1:9" ht="16.5" customHeight="1" x14ac:dyDescent="0.15">
      <c r="A138" s="21"/>
      <c r="B138" s="21" t="s">
        <v>803</v>
      </c>
      <c r="C138" s="21" t="s">
        <v>529</v>
      </c>
      <c r="D138" s="21">
        <v>5</v>
      </c>
      <c r="E138" s="21" t="s">
        <v>809</v>
      </c>
      <c r="F138" s="21" t="s">
        <v>810</v>
      </c>
      <c r="G138" s="21" t="s">
        <v>806</v>
      </c>
      <c r="H138" s="21" t="s">
        <v>533</v>
      </c>
      <c r="I138" s="21"/>
    </row>
    <row r="139" spans="1:9" ht="16.5" customHeight="1" x14ac:dyDescent="0.15">
      <c r="A139" s="25"/>
      <c r="B139" s="25" t="s">
        <v>803</v>
      </c>
      <c r="C139" s="25" t="s">
        <v>529</v>
      </c>
      <c r="D139" s="25">
        <v>5</v>
      </c>
      <c r="E139" s="25" t="s">
        <v>811</v>
      </c>
      <c r="F139" s="25" t="s">
        <v>812</v>
      </c>
      <c r="G139" s="25" t="s">
        <v>806</v>
      </c>
      <c r="H139" s="25" t="s">
        <v>533</v>
      </c>
      <c r="I139" s="25"/>
    </row>
    <row r="140" spans="1:9" ht="16.5" customHeight="1" x14ac:dyDescent="0.15">
      <c r="A140" s="21"/>
      <c r="B140" s="21" t="s">
        <v>803</v>
      </c>
      <c r="C140" s="21" t="s">
        <v>529</v>
      </c>
      <c r="D140" s="21">
        <v>5</v>
      </c>
      <c r="E140" s="21" t="s">
        <v>813</v>
      </c>
      <c r="F140" s="21" t="s">
        <v>814</v>
      </c>
      <c r="G140" s="21" t="s">
        <v>806</v>
      </c>
      <c r="H140" s="21" t="s">
        <v>533</v>
      </c>
      <c r="I140" s="21"/>
    </row>
    <row r="141" spans="1:9" ht="16.5" customHeight="1" x14ac:dyDescent="0.15">
      <c r="A141" s="25"/>
      <c r="B141" s="25" t="s">
        <v>803</v>
      </c>
      <c r="C141" s="25" t="s">
        <v>529</v>
      </c>
      <c r="D141" s="25">
        <v>5</v>
      </c>
      <c r="E141" s="25" t="s">
        <v>815</v>
      </c>
      <c r="F141" s="25" t="s">
        <v>816</v>
      </c>
      <c r="G141" s="25" t="s">
        <v>806</v>
      </c>
      <c r="H141" s="25" t="s">
        <v>533</v>
      </c>
      <c r="I141" s="25"/>
    </row>
    <row r="142" spans="1:9" ht="16.5" customHeight="1" x14ac:dyDescent="0.15">
      <c r="A142" s="21"/>
      <c r="B142" s="21" t="s">
        <v>803</v>
      </c>
      <c r="C142" s="21" t="s">
        <v>529</v>
      </c>
      <c r="D142" s="21">
        <v>5</v>
      </c>
      <c r="E142" s="21" t="s">
        <v>817</v>
      </c>
      <c r="F142" s="21" t="s">
        <v>818</v>
      </c>
      <c r="G142" s="21" t="s">
        <v>806</v>
      </c>
      <c r="H142" s="21" t="s">
        <v>533</v>
      </c>
      <c r="I142" s="21"/>
    </row>
    <row r="143" spans="1:9" ht="16.5" customHeight="1" x14ac:dyDescent="0.15">
      <c r="A143" s="25"/>
      <c r="B143" s="25" t="s">
        <v>803</v>
      </c>
      <c r="C143" s="25" t="s">
        <v>529</v>
      </c>
      <c r="D143" s="25">
        <v>5</v>
      </c>
      <c r="E143" s="25" t="s">
        <v>819</v>
      </c>
      <c r="F143" s="25" t="s">
        <v>820</v>
      </c>
      <c r="G143" s="25" t="s">
        <v>806</v>
      </c>
      <c r="H143" s="25" t="s">
        <v>533</v>
      </c>
      <c r="I143" s="25"/>
    </row>
    <row r="144" spans="1:9" ht="16.5" customHeight="1" x14ac:dyDescent="0.15">
      <c r="A144" s="21"/>
      <c r="B144" s="21" t="s">
        <v>803</v>
      </c>
      <c r="C144" s="21" t="s">
        <v>529</v>
      </c>
      <c r="D144" s="21">
        <v>5</v>
      </c>
      <c r="E144" s="21" t="s">
        <v>821</v>
      </c>
      <c r="F144" s="21" t="s">
        <v>822</v>
      </c>
      <c r="G144" s="21" t="s">
        <v>806</v>
      </c>
      <c r="H144" s="21" t="s">
        <v>533</v>
      </c>
      <c r="I144" s="21"/>
    </row>
    <row r="145" spans="1:9" ht="16.5" customHeight="1" x14ac:dyDescent="0.15">
      <c r="A145" s="25"/>
      <c r="B145" s="25" t="s">
        <v>803</v>
      </c>
      <c r="C145" s="25" t="s">
        <v>529</v>
      </c>
      <c r="D145" s="25">
        <v>5</v>
      </c>
      <c r="E145" s="25" t="s">
        <v>823</v>
      </c>
      <c r="F145" s="25" t="s">
        <v>824</v>
      </c>
      <c r="G145" s="25" t="s">
        <v>806</v>
      </c>
      <c r="H145" s="25" t="s">
        <v>533</v>
      </c>
      <c r="I145" s="25"/>
    </row>
    <row r="146" spans="1:9" ht="16.5" customHeight="1" x14ac:dyDescent="0.15">
      <c r="A146" s="21"/>
      <c r="B146" s="21" t="s">
        <v>825</v>
      </c>
      <c r="C146" s="21" t="s">
        <v>529</v>
      </c>
      <c r="D146" s="21">
        <v>5</v>
      </c>
      <c r="E146" s="21" t="s">
        <v>826</v>
      </c>
      <c r="F146" s="21" t="s">
        <v>827</v>
      </c>
      <c r="G146" s="21" t="s">
        <v>806</v>
      </c>
      <c r="H146" s="21" t="s">
        <v>533</v>
      </c>
      <c r="I146" s="21"/>
    </row>
    <row r="147" spans="1:9" ht="16.5" customHeight="1" x14ac:dyDescent="0.15">
      <c r="A147" s="25"/>
      <c r="B147" s="25" t="s">
        <v>825</v>
      </c>
      <c r="C147" s="25" t="s">
        <v>529</v>
      </c>
      <c r="D147" s="25">
        <v>5</v>
      </c>
      <c r="E147" s="25" t="s">
        <v>828</v>
      </c>
      <c r="F147" s="25" t="s">
        <v>829</v>
      </c>
      <c r="G147" s="25" t="s">
        <v>806</v>
      </c>
      <c r="H147" s="25" t="s">
        <v>533</v>
      </c>
      <c r="I147" s="25"/>
    </row>
    <row r="148" spans="1:9" ht="16.5" customHeight="1" x14ac:dyDescent="0.15">
      <c r="A148" s="21"/>
      <c r="B148" s="21" t="s">
        <v>825</v>
      </c>
      <c r="C148" s="21" t="s">
        <v>529</v>
      </c>
      <c r="D148" s="21">
        <v>5</v>
      </c>
      <c r="E148" s="21" t="s">
        <v>830</v>
      </c>
      <c r="F148" s="21" t="s">
        <v>831</v>
      </c>
      <c r="G148" s="21" t="s">
        <v>806</v>
      </c>
      <c r="H148" s="21" t="s">
        <v>533</v>
      </c>
      <c r="I148" s="21"/>
    </row>
    <row r="149" spans="1:9" ht="16.5" customHeight="1" x14ac:dyDescent="0.15">
      <c r="A149" s="25"/>
      <c r="B149" s="25" t="s">
        <v>825</v>
      </c>
      <c r="C149" s="25" t="s">
        <v>529</v>
      </c>
      <c r="D149" s="25">
        <v>5</v>
      </c>
      <c r="E149" s="25" t="s">
        <v>832</v>
      </c>
      <c r="F149" s="25" t="s">
        <v>833</v>
      </c>
      <c r="G149" s="25" t="s">
        <v>806</v>
      </c>
      <c r="H149" s="25" t="s">
        <v>533</v>
      </c>
      <c r="I149" s="25"/>
    </row>
    <row r="150" spans="1:9" ht="16.5" customHeight="1" x14ac:dyDescent="0.15">
      <c r="A150" s="21"/>
      <c r="B150" s="21" t="s">
        <v>825</v>
      </c>
      <c r="C150" s="21" t="s">
        <v>529</v>
      </c>
      <c r="D150" s="21">
        <v>5</v>
      </c>
      <c r="E150" s="21" t="s">
        <v>834</v>
      </c>
      <c r="F150" s="21" t="s">
        <v>835</v>
      </c>
      <c r="G150" s="21" t="s">
        <v>806</v>
      </c>
      <c r="H150" s="21" t="s">
        <v>533</v>
      </c>
      <c r="I150" s="21"/>
    </row>
    <row r="151" spans="1:9" ht="16.5" customHeight="1" x14ac:dyDescent="0.15">
      <c r="A151" s="25"/>
      <c r="B151" s="25" t="s">
        <v>825</v>
      </c>
      <c r="C151" s="25" t="s">
        <v>529</v>
      </c>
      <c r="D151" s="25">
        <v>5</v>
      </c>
      <c r="E151" s="25" t="s">
        <v>836</v>
      </c>
      <c r="F151" s="25" t="s">
        <v>837</v>
      </c>
      <c r="G151" s="25" t="s">
        <v>806</v>
      </c>
      <c r="H151" s="25" t="s">
        <v>533</v>
      </c>
      <c r="I151" s="25"/>
    </row>
    <row r="152" spans="1:9" ht="16.5" customHeight="1" x14ac:dyDescent="0.15">
      <c r="A152" s="21"/>
      <c r="B152" s="21" t="s">
        <v>825</v>
      </c>
      <c r="C152" s="21" t="s">
        <v>529</v>
      </c>
      <c r="D152" s="21">
        <v>5</v>
      </c>
      <c r="E152" s="21" t="s">
        <v>838</v>
      </c>
      <c r="F152" s="21" t="s">
        <v>839</v>
      </c>
      <c r="G152" s="21" t="s">
        <v>806</v>
      </c>
      <c r="H152" s="21" t="s">
        <v>533</v>
      </c>
      <c r="I152" s="21"/>
    </row>
    <row r="153" spans="1:9" ht="16.5" customHeight="1" x14ac:dyDescent="0.15">
      <c r="A153" s="25"/>
      <c r="B153" s="25" t="s">
        <v>825</v>
      </c>
      <c r="C153" s="25" t="s">
        <v>529</v>
      </c>
      <c r="D153" s="25">
        <v>5</v>
      </c>
      <c r="E153" s="25" t="s">
        <v>840</v>
      </c>
      <c r="F153" s="25" t="s">
        <v>841</v>
      </c>
      <c r="G153" s="25" t="s">
        <v>806</v>
      </c>
      <c r="H153" s="25" t="s">
        <v>533</v>
      </c>
      <c r="I153" s="25"/>
    </row>
    <row r="154" spans="1:9" ht="16.5" customHeight="1" x14ac:dyDescent="0.15">
      <c r="A154" s="21"/>
      <c r="B154" s="21" t="s">
        <v>825</v>
      </c>
      <c r="C154" s="21" t="s">
        <v>529</v>
      </c>
      <c r="D154" s="21">
        <v>5</v>
      </c>
      <c r="E154" s="21" t="s">
        <v>815</v>
      </c>
      <c r="F154" s="21" t="s">
        <v>842</v>
      </c>
      <c r="G154" s="21" t="s">
        <v>806</v>
      </c>
      <c r="H154" s="21" t="s">
        <v>533</v>
      </c>
      <c r="I154" s="21"/>
    </row>
    <row r="155" spans="1:9" ht="16.5" customHeight="1" x14ac:dyDescent="0.15">
      <c r="A155" s="25"/>
      <c r="B155" s="25" t="s">
        <v>825</v>
      </c>
      <c r="C155" s="25" t="s">
        <v>529</v>
      </c>
      <c r="D155" s="25">
        <v>5</v>
      </c>
      <c r="E155" s="25" t="s">
        <v>843</v>
      </c>
      <c r="F155" s="25" t="s">
        <v>844</v>
      </c>
      <c r="G155" s="25" t="s">
        <v>806</v>
      </c>
      <c r="H155" s="25" t="s">
        <v>533</v>
      </c>
      <c r="I155" s="25"/>
    </row>
    <row r="156" spans="1:9" ht="16.5" customHeight="1" x14ac:dyDescent="0.15">
      <c r="A156" s="21"/>
      <c r="B156" s="21" t="s">
        <v>845</v>
      </c>
      <c r="C156" s="21" t="s">
        <v>529</v>
      </c>
      <c r="D156" s="21">
        <v>5</v>
      </c>
      <c r="E156" s="21" t="s">
        <v>846</v>
      </c>
      <c r="F156" s="21" t="s">
        <v>847</v>
      </c>
      <c r="G156" s="21" t="s">
        <v>806</v>
      </c>
      <c r="H156" s="21" t="s">
        <v>533</v>
      </c>
      <c r="I156" s="21"/>
    </row>
    <row r="157" spans="1:9" ht="16.5" customHeight="1" x14ac:dyDescent="0.15">
      <c r="A157" s="25"/>
      <c r="B157" s="25" t="s">
        <v>845</v>
      </c>
      <c r="C157" s="25" t="s">
        <v>529</v>
      </c>
      <c r="D157" s="25">
        <v>5</v>
      </c>
      <c r="E157" s="25" t="s">
        <v>848</v>
      </c>
      <c r="F157" s="25" t="s">
        <v>849</v>
      </c>
      <c r="G157" s="25" t="s">
        <v>806</v>
      </c>
      <c r="H157" s="25" t="s">
        <v>533</v>
      </c>
      <c r="I157" s="25"/>
    </row>
    <row r="158" spans="1:9" ht="16.5" customHeight="1" x14ac:dyDescent="0.15">
      <c r="A158" s="21"/>
      <c r="B158" s="21" t="s">
        <v>845</v>
      </c>
      <c r="C158" s="21" t="s">
        <v>529</v>
      </c>
      <c r="D158" s="21">
        <v>5</v>
      </c>
      <c r="E158" s="21" t="s">
        <v>850</v>
      </c>
      <c r="F158" s="21" t="s">
        <v>851</v>
      </c>
      <c r="G158" s="21" t="s">
        <v>806</v>
      </c>
      <c r="H158" s="21" t="s">
        <v>533</v>
      </c>
      <c r="I158" s="21"/>
    </row>
    <row r="159" spans="1:9" ht="16.5" customHeight="1" x14ac:dyDescent="0.15">
      <c r="A159" s="25"/>
      <c r="B159" s="25" t="s">
        <v>845</v>
      </c>
      <c r="C159" s="25" t="s">
        <v>529</v>
      </c>
      <c r="D159" s="25">
        <v>5</v>
      </c>
      <c r="E159" s="25"/>
      <c r="F159" s="25"/>
      <c r="G159" s="25" t="s">
        <v>806</v>
      </c>
      <c r="H159" s="25" t="s">
        <v>533</v>
      </c>
      <c r="I159" s="25"/>
    </row>
    <row r="160" spans="1:9" ht="16.5" customHeight="1" x14ac:dyDescent="0.15">
      <c r="A160" s="21"/>
      <c r="B160" s="21" t="s">
        <v>845</v>
      </c>
      <c r="C160" s="21" t="s">
        <v>529</v>
      </c>
      <c r="D160" s="21">
        <v>5</v>
      </c>
      <c r="E160" s="21" t="s">
        <v>852</v>
      </c>
      <c r="F160" s="21" t="s">
        <v>853</v>
      </c>
      <c r="G160" s="21" t="s">
        <v>806</v>
      </c>
      <c r="H160" s="21" t="s">
        <v>533</v>
      </c>
      <c r="I160" s="21"/>
    </row>
    <row r="161" spans="1:9" ht="16.5" customHeight="1" x14ac:dyDescent="0.15">
      <c r="A161" s="25"/>
      <c r="B161" s="25" t="s">
        <v>854</v>
      </c>
      <c r="C161" s="25" t="s">
        <v>529</v>
      </c>
      <c r="D161" s="25">
        <v>5</v>
      </c>
      <c r="E161" s="25" t="s">
        <v>855</v>
      </c>
      <c r="F161" s="25" t="s">
        <v>856</v>
      </c>
      <c r="G161" s="25" t="s">
        <v>857</v>
      </c>
      <c r="H161" s="25" t="s">
        <v>533</v>
      </c>
      <c r="I161" s="25"/>
    </row>
    <row r="162" spans="1:9" ht="16.5" customHeight="1" x14ac:dyDescent="0.15">
      <c r="A162" s="21"/>
      <c r="B162" s="21" t="s">
        <v>854</v>
      </c>
      <c r="C162" s="21" t="s">
        <v>529</v>
      </c>
      <c r="D162" s="21">
        <v>5</v>
      </c>
      <c r="E162" s="21" t="s">
        <v>858</v>
      </c>
      <c r="F162" s="21" t="s">
        <v>859</v>
      </c>
      <c r="G162" s="21" t="s">
        <v>857</v>
      </c>
      <c r="H162" s="21" t="s">
        <v>533</v>
      </c>
      <c r="I162" s="21"/>
    </row>
    <row r="163" spans="1:9" ht="16.5" customHeight="1" x14ac:dyDescent="0.15">
      <c r="A163" s="25"/>
      <c r="B163" s="25" t="s">
        <v>854</v>
      </c>
      <c r="C163" s="25" t="s">
        <v>529</v>
      </c>
      <c r="D163" s="25">
        <v>5</v>
      </c>
      <c r="E163" s="25" t="s">
        <v>860</v>
      </c>
      <c r="F163" s="25" t="s">
        <v>861</v>
      </c>
      <c r="G163" s="25" t="s">
        <v>857</v>
      </c>
      <c r="H163" s="25" t="s">
        <v>533</v>
      </c>
      <c r="I163" s="25"/>
    </row>
    <row r="164" spans="1:9" ht="16.5" customHeight="1" x14ac:dyDescent="0.15">
      <c r="A164" s="21"/>
      <c r="B164" s="21" t="s">
        <v>854</v>
      </c>
      <c r="C164" s="21" t="s">
        <v>529</v>
      </c>
      <c r="D164" s="21">
        <v>5</v>
      </c>
      <c r="E164" s="21" t="s">
        <v>862</v>
      </c>
      <c r="F164" s="21" t="s">
        <v>863</v>
      </c>
      <c r="G164" s="21" t="s">
        <v>857</v>
      </c>
      <c r="H164" s="21" t="s">
        <v>533</v>
      </c>
      <c r="I164" s="21"/>
    </row>
    <row r="165" spans="1:9" ht="16.5" customHeight="1" x14ac:dyDescent="0.15">
      <c r="A165" s="25"/>
      <c r="B165" s="25" t="s">
        <v>864</v>
      </c>
      <c r="C165" s="25" t="s">
        <v>529</v>
      </c>
      <c r="D165" s="25">
        <v>5</v>
      </c>
      <c r="E165" s="25" t="s">
        <v>865</v>
      </c>
      <c r="F165" s="25" t="s">
        <v>866</v>
      </c>
      <c r="G165" s="25" t="s">
        <v>857</v>
      </c>
      <c r="H165" s="25" t="s">
        <v>533</v>
      </c>
      <c r="I165" s="25"/>
    </row>
    <row r="166" spans="1:9" ht="16.5" customHeight="1" x14ac:dyDescent="0.15">
      <c r="A166" s="21"/>
      <c r="B166" s="21" t="s">
        <v>864</v>
      </c>
      <c r="C166" s="21" t="s">
        <v>529</v>
      </c>
      <c r="D166" s="21">
        <v>5</v>
      </c>
      <c r="E166" s="21" t="s">
        <v>867</v>
      </c>
      <c r="F166" s="21" t="s">
        <v>868</v>
      </c>
      <c r="G166" s="21" t="s">
        <v>857</v>
      </c>
      <c r="H166" s="21" t="s">
        <v>533</v>
      </c>
      <c r="I166" s="21"/>
    </row>
    <row r="167" spans="1:9" ht="16.5" customHeight="1" x14ac:dyDescent="0.15">
      <c r="A167" s="25"/>
      <c r="B167" s="25" t="s">
        <v>869</v>
      </c>
      <c r="C167" s="25" t="s">
        <v>529</v>
      </c>
      <c r="D167" s="25">
        <v>5</v>
      </c>
      <c r="E167" s="25" t="s">
        <v>870</v>
      </c>
      <c r="F167" s="25" t="s">
        <v>871</v>
      </c>
      <c r="G167" s="25" t="s">
        <v>857</v>
      </c>
      <c r="H167" s="25" t="s">
        <v>533</v>
      </c>
      <c r="I167" s="25"/>
    </row>
    <row r="168" spans="1:9" ht="16.5" customHeight="1" x14ac:dyDescent="0.15">
      <c r="A168" s="21"/>
      <c r="B168" s="21" t="s">
        <v>864</v>
      </c>
      <c r="C168" s="21" t="s">
        <v>529</v>
      </c>
      <c r="D168" s="21">
        <v>5</v>
      </c>
      <c r="E168" s="21" t="s">
        <v>872</v>
      </c>
      <c r="F168" s="21" t="s">
        <v>873</v>
      </c>
      <c r="G168" s="21" t="s">
        <v>857</v>
      </c>
      <c r="H168" s="21" t="s">
        <v>533</v>
      </c>
      <c r="I168" s="21"/>
    </row>
    <row r="169" spans="1:9" ht="16.5" customHeight="1" x14ac:dyDescent="0.15">
      <c r="A169" s="25"/>
      <c r="B169" s="25" t="s">
        <v>874</v>
      </c>
      <c r="C169" s="25" t="s">
        <v>529</v>
      </c>
      <c r="D169" s="25">
        <v>5</v>
      </c>
      <c r="E169" s="25" t="s">
        <v>875</v>
      </c>
      <c r="F169" s="25" t="s">
        <v>876</v>
      </c>
      <c r="G169" s="25" t="s">
        <v>857</v>
      </c>
      <c r="H169" s="25" t="s">
        <v>533</v>
      </c>
      <c r="I169" s="25"/>
    </row>
    <row r="170" spans="1:9" ht="16.5" customHeight="1" x14ac:dyDescent="0.15">
      <c r="A170" s="21"/>
      <c r="B170" s="21" t="s">
        <v>874</v>
      </c>
      <c r="C170" s="21" t="s">
        <v>529</v>
      </c>
      <c r="D170" s="21">
        <v>5</v>
      </c>
      <c r="E170" s="21" t="s">
        <v>877</v>
      </c>
      <c r="F170" s="21" t="s">
        <v>878</v>
      </c>
      <c r="G170" s="21" t="s">
        <v>857</v>
      </c>
      <c r="H170" s="21" t="s">
        <v>533</v>
      </c>
      <c r="I170" s="21"/>
    </row>
    <row r="171" spans="1:9" ht="16.5" customHeight="1" x14ac:dyDescent="0.15">
      <c r="A171" s="25"/>
      <c r="B171" s="25" t="s">
        <v>874</v>
      </c>
      <c r="C171" s="25" t="s">
        <v>529</v>
      </c>
      <c r="D171" s="25">
        <v>5</v>
      </c>
      <c r="E171" s="25" t="s">
        <v>879</v>
      </c>
      <c r="F171" s="25" t="s">
        <v>880</v>
      </c>
      <c r="G171" s="25" t="s">
        <v>857</v>
      </c>
      <c r="H171" s="25" t="s">
        <v>533</v>
      </c>
      <c r="I171" s="25"/>
    </row>
    <row r="172" spans="1:9" ht="16.5" customHeight="1" x14ac:dyDescent="0.15">
      <c r="A172" s="21"/>
      <c r="B172" s="21" t="s">
        <v>874</v>
      </c>
      <c r="C172" s="21" t="s">
        <v>529</v>
      </c>
      <c r="D172" s="21">
        <v>5</v>
      </c>
      <c r="E172" s="21" t="s">
        <v>881</v>
      </c>
      <c r="F172" s="21" t="s">
        <v>882</v>
      </c>
      <c r="G172" s="21" t="s">
        <v>857</v>
      </c>
      <c r="H172" s="21" t="s">
        <v>533</v>
      </c>
      <c r="I172" s="21"/>
    </row>
    <row r="173" spans="1:9" ht="16.5" customHeight="1" x14ac:dyDescent="0.15">
      <c r="A173" s="25"/>
      <c r="B173" s="25" t="s">
        <v>874</v>
      </c>
      <c r="C173" s="25" t="s">
        <v>529</v>
      </c>
      <c r="D173" s="25">
        <v>5</v>
      </c>
      <c r="E173" s="25" t="s">
        <v>883</v>
      </c>
      <c r="F173" s="25" t="s">
        <v>884</v>
      </c>
      <c r="G173" s="25" t="s">
        <v>857</v>
      </c>
      <c r="H173" s="25" t="s">
        <v>533</v>
      </c>
      <c r="I173" s="25"/>
    </row>
    <row r="174" spans="1:9" ht="16.5" customHeight="1" x14ac:dyDescent="0.15">
      <c r="A174" s="21"/>
      <c r="B174" s="21" t="s">
        <v>874</v>
      </c>
      <c r="C174" s="21" t="s">
        <v>529</v>
      </c>
      <c r="D174" s="21">
        <v>5</v>
      </c>
      <c r="E174" s="21" t="s">
        <v>885</v>
      </c>
      <c r="F174" s="21" t="s">
        <v>886</v>
      </c>
      <c r="G174" s="21" t="s">
        <v>857</v>
      </c>
      <c r="H174" s="21" t="s">
        <v>533</v>
      </c>
      <c r="I174" s="21"/>
    </row>
    <row r="175" spans="1:9" ht="16.5" customHeight="1" x14ac:dyDescent="0.15">
      <c r="A175" s="25"/>
      <c r="B175" s="25" t="s">
        <v>874</v>
      </c>
      <c r="C175" s="25" t="s">
        <v>529</v>
      </c>
      <c r="D175" s="25">
        <v>5</v>
      </c>
      <c r="E175" s="25" t="s">
        <v>887</v>
      </c>
      <c r="F175" s="25" t="s">
        <v>888</v>
      </c>
      <c r="G175" s="25" t="s">
        <v>857</v>
      </c>
      <c r="H175" s="25" t="s">
        <v>533</v>
      </c>
      <c r="I175" s="25"/>
    </row>
    <row r="176" spans="1:9" ht="16.5" customHeight="1" x14ac:dyDescent="0.15">
      <c r="A176" s="21"/>
      <c r="B176" s="21" t="s">
        <v>874</v>
      </c>
      <c r="C176" s="21" t="s">
        <v>529</v>
      </c>
      <c r="D176" s="21">
        <v>5</v>
      </c>
      <c r="E176" s="21" t="s">
        <v>889</v>
      </c>
      <c r="F176" s="21" t="s">
        <v>890</v>
      </c>
      <c r="G176" s="21" t="s">
        <v>857</v>
      </c>
      <c r="H176" s="21" t="s">
        <v>533</v>
      </c>
      <c r="I176" s="21"/>
    </row>
    <row r="177" spans="1:9" ht="16.5" customHeight="1" x14ac:dyDescent="0.15">
      <c r="A177" s="25"/>
      <c r="B177" s="25" t="s">
        <v>874</v>
      </c>
      <c r="C177" s="25" t="s">
        <v>529</v>
      </c>
      <c r="D177" s="25">
        <v>5</v>
      </c>
      <c r="E177" s="25" t="s">
        <v>891</v>
      </c>
      <c r="F177" s="25" t="s">
        <v>892</v>
      </c>
      <c r="G177" s="25" t="s">
        <v>857</v>
      </c>
      <c r="H177" s="25" t="s">
        <v>533</v>
      </c>
      <c r="I177" s="25"/>
    </row>
    <row r="178" spans="1:9" ht="16.5" customHeight="1" x14ac:dyDescent="0.15">
      <c r="A178" s="21"/>
      <c r="B178" s="21" t="s">
        <v>874</v>
      </c>
      <c r="C178" s="21" t="s">
        <v>529</v>
      </c>
      <c r="D178" s="21">
        <v>5</v>
      </c>
      <c r="E178" s="21" t="s">
        <v>893</v>
      </c>
      <c r="F178" s="21" t="s">
        <v>894</v>
      </c>
      <c r="G178" s="21" t="s">
        <v>857</v>
      </c>
      <c r="H178" s="21" t="s">
        <v>533</v>
      </c>
      <c r="I178" s="21"/>
    </row>
    <row r="179" spans="1:9" ht="16.5" customHeight="1" x14ac:dyDescent="0.15">
      <c r="A179" s="25"/>
      <c r="B179" s="25" t="s">
        <v>874</v>
      </c>
      <c r="C179" s="25" t="s">
        <v>529</v>
      </c>
      <c r="D179" s="25">
        <v>5</v>
      </c>
      <c r="E179" s="25" t="s">
        <v>895</v>
      </c>
      <c r="F179" s="25" t="s">
        <v>896</v>
      </c>
      <c r="G179" s="25" t="s">
        <v>857</v>
      </c>
      <c r="H179" s="25" t="s">
        <v>533</v>
      </c>
      <c r="I179" s="25"/>
    </row>
    <row r="180" spans="1:9" ht="16.5" customHeight="1" x14ac:dyDescent="0.15">
      <c r="A180" s="21"/>
      <c r="B180" s="21" t="s">
        <v>874</v>
      </c>
      <c r="C180" s="21" t="s">
        <v>529</v>
      </c>
      <c r="D180" s="21">
        <v>5</v>
      </c>
      <c r="E180" s="21" t="s">
        <v>897</v>
      </c>
      <c r="F180" s="21" t="s">
        <v>898</v>
      </c>
      <c r="G180" s="21" t="s">
        <v>857</v>
      </c>
      <c r="H180" s="21" t="s">
        <v>533</v>
      </c>
      <c r="I180" s="21"/>
    </row>
    <row r="181" spans="1:9" ht="16.5" customHeight="1" x14ac:dyDescent="0.15">
      <c r="A181" s="25"/>
      <c r="B181" s="25" t="s">
        <v>874</v>
      </c>
      <c r="C181" s="25" t="s">
        <v>529</v>
      </c>
      <c r="D181" s="25">
        <v>5</v>
      </c>
      <c r="E181" s="25" t="s">
        <v>899</v>
      </c>
      <c r="F181" s="25" t="s">
        <v>900</v>
      </c>
      <c r="G181" s="25" t="s">
        <v>857</v>
      </c>
      <c r="H181" s="25" t="s">
        <v>533</v>
      </c>
      <c r="I181" s="25"/>
    </row>
    <row r="182" spans="1:9" ht="16.5" customHeight="1" x14ac:dyDescent="0.15">
      <c r="A182" s="21"/>
      <c r="B182" s="21" t="s">
        <v>874</v>
      </c>
      <c r="C182" s="21" t="s">
        <v>529</v>
      </c>
      <c r="D182" s="21">
        <v>5</v>
      </c>
      <c r="E182" s="21" t="s">
        <v>901</v>
      </c>
      <c r="F182" s="21" t="s">
        <v>902</v>
      </c>
      <c r="G182" s="21" t="s">
        <v>857</v>
      </c>
      <c r="H182" s="21" t="s">
        <v>533</v>
      </c>
      <c r="I182" s="21"/>
    </row>
    <row r="183" spans="1:9" ht="16.5" customHeight="1" x14ac:dyDescent="0.15">
      <c r="A183" s="25"/>
      <c r="B183" s="25" t="s">
        <v>874</v>
      </c>
      <c r="C183" s="25" t="s">
        <v>529</v>
      </c>
      <c r="D183" s="25">
        <v>5</v>
      </c>
      <c r="E183" s="25" t="s">
        <v>903</v>
      </c>
      <c r="F183" s="25" t="s">
        <v>904</v>
      </c>
      <c r="G183" s="25" t="s">
        <v>857</v>
      </c>
      <c r="H183" s="25" t="s">
        <v>533</v>
      </c>
      <c r="I183" s="25"/>
    </row>
    <row r="184" spans="1:9" ht="16.5" customHeight="1" x14ac:dyDescent="0.15">
      <c r="A184" s="21"/>
      <c r="B184" s="21" t="s">
        <v>874</v>
      </c>
      <c r="C184" s="21" t="s">
        <v>529</v>
      </c>
      <c r="D184" s="21">
        <v>5</v>
      </c>
      <c r="E184" s="21" t="s">
        <v>905</v>
      </c>
      <c r="F184" s="21" t="s">
        <v>906</v>
      </c>
      <c r="G184" s="21" t="s">
        <v>857</v>
      </c>
      <c r="H184" s="21" t="s">
        <v>533</v>
      </c>
      <c r="I184" s="21"/>
    </row>
    <row r="185" spans="1:9" ht="16.5" customHeight="1" x14ac:dyDescent="0.15">
      <c r="A185" s="25"/>
      <c r="B185" s="25" t="s">
        <v>874</v>
      </c>
      <c r="C185" s="25" t="s">
        <v>529</v>
      </c>
      <c r="D185" s="25">
        <v>5</v>
      </c>
      <c r="E185" s="25" t="s">
        <v>907</v>
      </c>
      <c r="F185" s="25" t="s">
        <v>908</v>
      </c>
      <c r="G185" s="25" t="s">
        <v>857</v>
      </c>
      <c r="H185" s="25" t="s">
        <v>533</v>
      </c>
      <c r="I185" s="25"/>
    </row>
    <row r="186" spans="1:9" ht="16.5" customHeight="1" x14ac:dyDescent="0.15">
      <c r="A186" s="21"/>
      <c r="B186" s="21" t="s">
        <v>909</v>
      </c>
      <c r="C186" s="21" t="s">
        <v>529</v>
      </c>
      <c r="D186" s="21">
        <v>5</v>
      </c>
      <c r="E186" s="21" t="s">
        <v>910</v>
      </c>
      <c r="F186" s="21" t="s">
        <v>911</v>
      </c>
      <c r="G186" s="21" t="s">
        <v>857</v>
      </c>
      <c r="H186" s="21" t="s">
        <v>533</v>
      </c>
      <c r="I186" s="21"/>
    </row>
    <row r="187" spans="1:9" ht="16.5" customHeight="1" x14ac:dyDescent="0.15">
      <c r="A187" s="25"/>
      <c r="B187" s="25" t="s">
        <v>912</v>
      </c>
      <c r="C187" s="25" t="s">
        <v>529</v>
      </c>
      <c r="D187" s="25">
        <v>5</v>
      </c>
      <c r="E187" s="25" t="s">
        <v>913</v>
      </c>
      <c r="F187" s="25" t="s">
        <v>914</v>
      </c>
      <c r="G187" s="25" t="s">
        <v>857</v>
      </c>
      <c r="H187" s="25" t="s">
        <v>533</v>
      </c>
      <c r="I187" s="25"/>
    </row>
    <row r="188" spans="1:9" ht="16.5" customHeight="1" x14ac:dyDescent="0.15">
      <c r="A188" s="21"/>
      <c r="B188" s="21" t="s">
        <v>915</v>
      </c>
      <c r="C188" s="21" t="s">
        <v>529</v>
      </c>
      <c r="D188" s="21">
        <v>5</v>
      </c>
      <c r="E188" s="21" t="s">
        <v>916</v>
      </c>
      <c r="F188" s="21" t="s">
        <v>917</v>
      </c>
      <c r="G188" s="21" t="s">
        <v>857</v>
      </c>
      <c r="H188" s="21" t="s">
        <v>533</v>
      </c>
      <c r="I188" s="21"/>
    </row>
    <row r="189" spans="1:9" ht="16.5" customHeight="1" x14ac:dyDescent="0.15">
      <c r="A189" s="25"/>
      <c r="B189" s="25" t="s">
        <v>918</v>
      </c>
      <c r="C189" s="25" t="s">
        <v>529</v>
      </c>
      <c r="D189" s="25">
        <v>5</v>
      </c>
      <c r="E189" s="25" t="s">
        <v>919</v>
      </c>
      <c r="F189" s="25" t="s">
        <v>920</v>
      </c>
      <c r="G189" s="25" t="s">
        <v>921</v>
      </c>
      <c r="H189" s="25" t="s">
        <v>533</v>
      </c>
      <c r="I189" s="25"/>
    </row>
    <row r="190" spans="1:9" ht="16.5" customHeight="1" x14ac:dyDescent="0.15">
      <c r="A190" s="21"/>
      <c r="B190" s="21" t="s">
        <v>918</v>
      </c>
      <c r="C190" s="21" t="s">
        <v>529</v>
      </c>
      <c r="D190" s="21">
        <v>5</v>
      </c>
      <c r="E190" s="21" t="s">
        <v>922</v>
      </c>
      <c r="F190" s="21" t="s">
        <v>923</v>
      </c>
      <c r="G190" s="21" t="s">
        <v>921</v>
      </c>
      <c r="H190" s="21" t="s">
        <v>533</v>
      </c>
      <c r="I190" s="21"/>
    </row>
    <row r="191" spans="1:9" ht="16.5" customHeight="1" x14ac:dyDescent="0.15">
      <c r="A191" s="25"/>
      <c r="B191" s="25" t="s">
        <v>924</v>
      </c>
      <c r="C191" s="25" t="s">
        <v>529</v>
      </c>
      <c r="D191" s="25">
        <v>5</v>
      </c>
      <c r="E191" s="25" t="s">
        <v>925</v>
      </c>
      <c r="F191" s="25" t="s">
        <v>926</v>
      </c>
      <c r="G191" s="25" t="s">
        <v>921</v>
      </c>
      <c r="H191" s="25" t="s">
        <v>533</v>
      </c>
      <c r="I191" s="25"/>
    </row>
    <row r="192" spans="1:9" ht="16.5" customHeight="1" x14ac:dyDescent="0.15">
      <c r="A192" s="21"/>
      <c r="B192" s="21" t="s">
        <v>927</v>
      </c>
      <c r="C192" s="21" t="s">
        <v>529</v>
      </c>
      <c r="D192" s="21">
        <v>5</v>
      </c>
      <c r="E192" s="21" t="s">
        <v>928</v>
      </c>
      <c r="F192" s="21" t="s">
        <v>929</v>
      </c>
      <c r="G192" s="21" t="s">
        <v>921</v>
      </c>
      <c r="H192" s="21" t="s">
        <v>533</v>
      </c>
      <c r="I192" s="21"/>
    </row>
    <row r="193" spans="1:9" ht="16.5" customHeight="1" x14ac:dyDescent="0.15">
      <c r="A193" s="25"/>
      <c r="B193" s="25" t="s">
        <v>927</v>
      </c>
      <c r="C193" s="25" t="s">
        <v>529</v>
      </c>
      <c r="D193" s="25">
        <v>5</v>
      </c>
      <c r="E193" s="25" t="s">
        <v>930</v>
      </c>
      <c r="F193" s="25" t="s">
        <v>931</v>
      </c>
      <c r="G193" s="25" t="s">
        <v>921</v>
      </c>
      <c r="H193" s="25" t="s">
        <v>533</v>
      </c>
      <c r="I193" s="25"/>
    </row>
    <row r="194" spans="1:9" ht="16.5" customHeight="1" x14ac:dyDescent="0.15">
      <c r="A194" s="21"/>
      <c r="B194" s="21" t="s">
        <v>932</v>
      </c>
      <c r="C194" s="21" t="s">
        <v>529</v>
      </c>
      <c r="D194" s="21">
        <v>5</v>
      </c>
      <c r="E194" s="21" t="s">
        <v>933</v>
      </c>
      <c r="F194" s="21" t="s">
        <v>934</v>
      </c>
      <c r="G194" s="21" t="s">
        <v>921</v>
      </c>
      <c r="H194" s="21" t="s">
        <v>533</v>
      </c>
      <c r="I194" s="21"/>
    </row>
    <row r="195" spans="1:9" ht="16.5" customHeight="1" x14ac:dyDescent="0.15">
      <c r="A195" s="25"/>
      <c r="B195" s="25" t="s">
        <v>932</v>
      </c>
      <c r="C195" s="25" t="s">
        <v>529</v>
      </c>
      <c r="D195" s="25">
        <v>5</v>
      </c>
      <c r="E195" s="25" t="s">
        <v>935</v>
      </c>
      <c r="F195" s="25" t="s">
        <v>936</v>
      </c>
      <c r="G195" s="25" t="s">
        <v>921</v>
      </c>
      <c r="H195" s="25" t="s">
        <v>533</v>
      </c>
      <c r="I195" s="25"/>
    </row>
    <row r="196" spans="1:9" ht="16.5" customHeight="1" x14ac:dyDescent="0.15">
      <c r="A196" s="21"/>
      <c r="B196" s="21" t="s">
        <v>927</v>
      </c>
      <c r="C196" s="21" t="s">
        <v>529</v>
      </c>
      <c r="D196" s="21">
        <v>5</v>
      </c>
      <c r="E196" s="21" t="s">
        <v>937</v>
      </c>
      <c r="F196" s="21" t="s">
        <v>938</v>
      </c>
      <c r="G196" s="21" t="s">
        <v>921</v>
      </c>
      <c r="H196" s="21" t="s">
        <v>533</v>
      </c>
      <c r="I196" s="21"/>
    </row>
    <row r="197" spans="1:9" ht="16.5" customHeight="1" x14ac:dyDescent="0.15">
      <c r="A197" s="25"/>
      <c r="B197" s="25" t="s">
        <v>932</v>
      </c>
      <c r="C197" s="25" t="s">
        <v>529</v>
      </c>
      <c r="D197" s="25">
        <v>5</v>
      </c>
      <c r="E197" s="25" t="s">
        <v>939</v>
      </c>
      <c r="F197" s="25" t="s">
        <v>940</v>
      </c>
      <c r="G197" s="25" t="s">
        <v>921</v>
      </c>
      <c r="H197" s="25" t="s">
        <v>533</v>
      </c>
      <c r="I197" s="25"/>
    </row>
    <row r="198" spans="1:9" ht="16.5" customHeight="1" x14ac:dyDescent="0.15">
      <c r="A198" s="21"/>
      <c r="B198" s="21" t="s">
        <v>932</v>
      </c>
      <c r="C198" s="21" t="s">
        <v>529</v>
      </c>
      <c r="D198" s="21">
        <v>5</v>
      </c>
      <c r="E198" s="21" t="s">
        <v>941</v>
      </c>
      <c r="F198" s="21" t="s">
        <v>942</v>
      </c>
      <c r="G198" s="21" t="s">
        <v>921</v>
      </c>
      <c r="H198" s="21" t="s">
        <v>533</v>
      </c>
      <c r="I198" s="21"/>
    </row>
    <row r="199" spans="1:9" ht="16.5" customHeight="1" x14ac:dyDescent="0.15">
      <c r="A199" s="25"/>
      <c r="B199" s="25" t="s">
        <v>927</v>
      </c>
      <c r="C199" s="25" t="s">
        <v>529</v>
      </c>
      <c r="D199" s="25">
        <v>5</v>
      </c>
      <c r="E199" s="25" t="s">
        <v>943</v>
      </c>
      <c r="F199" s="25" t="s">
        <v>944</v>
      </c>
      <c r="G199" s="25" t="s">
        <v>921</v>
      </c>
      <c r="H199" s="25" t="s">
        <v>533</v>
      </c>
      <c r="I199" s="25"/>
    </row>
    <row r="200" spans="1:9" ht="16.5" customHeight="1" x14ac:dyDescent="0.15">
      <c r="A200" s="21"/>
      <c r="B200" s="21" t="s">
        <v>927</v>
      </c>
      <c r="C200" s="21" t="s">
        <v>529</v>
      </c>
      <c r="D200" s="21">
        <v>5</v>
      </c>
      <c r="E200" s="21" t="s">
        <v>941</v>
      </c>
      <c r="F200" s="21" t="s">
        <v>945</v>
      </c>
      <c r="G200" s="21" t="s">
        <v>921</v>
      </c>
      <c r="H200" s="21" t="s">
        <v>533</v>
      </c>
      <c r="I200" s="21"/>
    </row>
    <row r="201" spans="1:9" ht="16.5" customHeight="1" x14ac:dyDescent="0.15">
      <c r="A201" s="25"/>
      <c r="B201" s="25" t="s">
        <v>932</v>
      </c>
      <c r="C201" s="25" t="s">
        <v>529</v>
      </c>
      <c r="D201" s="25">
        <v>5</v>
      </c>
      <c r="E201" s="25" t="s">
        <v>946</v>
      </c>
      <c r="F201" s="25" t="s">
        <v>947</v>
      </c>
      <c r="G201" s="25" t="s">
        <v>921</v>
      </c>
      <c r="H201" s="25" t="s">
        <v>533</v>
      </c>
      <c r="I201" s="25"/>
    </row>
    <row r="202" spans="1:9" ht="16.5" customHeight="1" x14ac:dyDescent="0.15">
      <c r="A202" s="21"/>
      <c r="B202" s="21" t="s">
        <v>932</v>
      </c>
      <c r="C202" s="21" t="s">
        <v>529</v>
      </c>
      <c r="D202" s="21">
        <v>5</v>
      </c>
      <c r="E202" s="21" t="s">
        <v>946</v>
      </c>
      <c r="F202" s="21" t="s">
        <v>948</v>
      </c>
      <c r="G202" s="21" t="s">
        <v>921</v>
      </c>
      <c r="H202" s="21" t="s">
        <v>533</v>
      </c>
      <c r="I202" s="21"/>
    </row>
    <row r="203" spans="1:9" ht="16.5" customHeight="1" x14ac:dyDescent="0.15">
      <c r="A203" s="25"/>
      <c r="B203" s="25" t="s">
        <v>932</v>
      </c>
      <c r="C203" s="25" t="s">
        <v>529</v>
      </c>
      <c r="D203" s="25">
        <v>5</v>
      </c>
      <c r="E203" s="25" t="s">
        <v>949</v>
      </c>
      <c r="F203" s="25" t="s">
        <v>950</v>
      </c>
      <c r="G203" s="25" t="s">
        <v>921</v>
      </c>
      <c r="H203" s="25" t="s">
        <v>533</v>
      </c>
      <c r="I203" s="25"/>
    </row>
    <row r="204" spans="1:9" ht="16.5" customHeight="1" x14ac:dyDescent="0.15">
      <c r="A204" s="21"/>
      <c r="B204" s="21" t="s">
        <v>951</v>
      </c>
      <c r="C204" s="21" t="s">
        <v>529</v>
      </c>
      <c r="D204" s="21">
        <v>5</v>
      </c>
      <c r="E204" s="21" t="s">
        <v>952</v>
      </c>
      <c r="F204" s="21" t="s">
        <v>953</v>
      </c>
      <c r="G204" s="21" t="s">
        <v>921</v>
      </c>
      <c r="H204" s="21" t="s">
        <v>533</v>
      </c>
      <c r="I204" s="21"/>
    </row>
    <row r="205" spans="1:9" ht="16.5" customHeight="1" x14ac:dyDescent="0.15">
      <c r="A205" s="25"/>
      <c r="B205" s="25" t="s">
        <v>932</v>
      </c>
      <c r="C205" s="25" t="s">
        <v>529</v>
      </c>
      <c r="D205" s="25">
        <v>5</v>
      </c>
      <c r="E205" s="25" t="s">
        <v>954</v>
      </c>
      <c r="F205" s="25" t="s">
        <v>955</v>
      </c>
      <c r="G205" s="25" t="s">
        <v>921</v>
      </c>
      <c r="H205" s="25" t="s">
        <v>533</v>
      </c>
      <c r="I205" s="25"/>
    </row>
    <row r="206" spans="1:9" ht="16.5" customHeight="1" x14ac:dyDescent="0.15">
      <c r="A206" s="21"/>
      <c r="B206" s="21" t="s">
        <v>956</v>
      </c>
      <c r="C206" s="21" t="s">
        <v>529</v>
      </c>
      <c r="D206" s="21">
        <v>5</v>
      </c>
      <c r="E206" s="21" t="s">
        <v>957</v>
      </c>
      <c r="F206" s="21" t="s">
        <v>958</v>
      </c>
      <c r="G206" s="21" t="s">
        <v>921</v>
      </c>
      <c r="H206" s="21" t="s">
        <v>533</v>
      </c>
      <c r="I206" s="21"/>
    </row>
    <row r="207" spans="1:9" ht="16.5" customHeight="1" x14ac:dyDescent="0.15">
      <c r="A207" s="25"/>
      <c r="B207" s="25" t="s">
        <v>932</v>
      </c>
      <c r="C207" s="25" t="s">
        <v>529</v>
      </c>
      <c r="D207" s="25">
        <v>5</v>
      </c>
      <c r="E207" s="25" t="s">
        <v>959</v>
      </c>
      <c r="F207" s="25" t="s">
        <v>960</v>
      </c>
      <c r="G207" s="25" t="s">
        <v>921</v>
      </c>
      <c r="H207" s="25" t="s">
        <v>533</v>
      </c>
      <c r="I207" s="25"/>
    </row>
    <row r="208" spans="1:9" ht="16.5" customHeight="1" x14ac:dyDescent="0.15">
      <c r="A208" s="21"/>
      <c r="B208" s="21" t="s">
        <v>932</v>
      </c>
      <c r="C208" s="21" t="s">
        <v>529</v>
      </c>
      <c r="D208" s="21">
        <v>5</v>
      </c>
      <c r="E208" s="21" t="s">
        <v>943</v>
      </c>
      <c r="F208" s="21" t="s">
        <v>961</v>
      </c>
      <c r="G208" s="21" t="s">
        <v>921</v>
      </c>
      <c r="H208" s="21" t="s">
        <v>533</v>
      </c>
      <c r="I208" s="21"/>
    </row>
    <row r="209" spans="1:9" ht="16.5" customHeight="1" x14ac:dyDescent="0.15">
      <c r="A209" s="25"/>
      <c r="B209" s="25" t="s">
        <v>932</v>
      </c>
      <c r="C209" s="25" t="s">
        <v>529</v>
      </c>
      <c r="D209" s="25">
        <v>5</v>
      </c>
      <c r="E209" s="25" t="s">
        <v>962</v>
      </c>
      <c r="F209" s="25" t="s">
        <v>963</v>
      </c>
      <c r="G209" s="25" t="s">
        <v>921</v>
      </c>
      <c r="H209" s="25" t="s">
        <v>533</v>
      </c>
      <c r="I209" s="25"/>
    </row>
    <row r="210" spans="1:9" ht="16.5" customHeight="1" x14ac:dyDescent="0.15">
      <c r="A210" s="21"/>
      <c r="B210" s="21" t="s">
        <v>932</v>
      </c>
      <c r="C210" s="21" t="s">
        <v>529</v>
      </c>
      <c r="D210" s="21">
        <v>5</v>
      </c>
      <c r="E210" s="21" t="s">
        <v>964</v>
      </c>
      <c r="F210" s="21" t="s">
        <v>965</v>
      </c>
      <c r="G210" s="21" t="s">
        <v>921</v>
      </c>
      <c r="H210" s="21" t="s">
        <v>533</v>
      </c>
      <c r="I210" s="21"/>
    </row>
    <row r="211" spans="1:9" ht="16.5" customHeight="1" x14ac:dyDescent="0.15">
      <c r="A211" s="25"/>
      <c r="B211" s="25" t="s">
        <v>932</v>
      </c>
      <c r="C211" s="25" t="s">
        <v>529</v>
      </c>
      <c r="D211" s="25">
        <v>5</v>
      </c>
      <c r="E211" s="25" t="s">
        <v>966</v>
      </c>
      <c r="F211" s="25" t="s">
        <v>967</v>
      </c>
      <c r="G211" s="25" t="s">
        <v>921</v>
      </c>
      <c r="H211" s="25" t="s">
        <v>533</v>
      </c>
      <c r="I211" s="25"/>
    </row>
    <row r="212" spans="1:9" ht="16.5" customHeight="1" x14ac:dyDescent="0.15">
      <c r="A212" s="21"/>
      <c r="B212" s="21" t="s">
        <v>932</v>
      </c>
      <c r="C212" s="21" t="s">
        <v>529</v>
      </c>
      <c r="D212" s="21">
        <v>5</v>
      </c>
      <c r="E212" s="21" t="s">
        <v>968</v>
      </c>
      <c r="F212" s="21" t="s">
        <v>969</v>
      </c>
      <c r="G212" s="21" t="s">
        <v>921</v>
      </c>
      <c r="H212" s="21" t="s">
        <v>533</v>
      </c>
      <c r="I212" s="21"/>
    </row>
    <row r="213" spans="1:9" ht="16.5" customHeight="1" x14ac:dyDescent="0.15">
      <c r="A213" s="25"/>
      <c r="B213" s="25" t="s">
        <v>932</v>
      </c>
      <c r="C213" s="25" t="s">
        <v>529</v>
      </c>
      <c r="D213" s="25">
        <v>5</v>
      </c>
      <c r="E213" s="25" t="s">
        <v>970</v>
      </c>
      <c r="F213" s="25" t="s">
        <v>971</v>
      </c>
      <c r="G213" s="25" t="s">
        <v>921</v>
      </c>
      <c r="H213" s="25" t="s">
        <v>533</v>
      </c>
      <c r="I213" s="25"/>
    </row>
    <row r="214" spans="1:9" ht="16.5" customHeight="1" x14ac:dyDescent="0.15">
      <c r="A214" s="21"/>
      <c r="B214" s="21" t="s">
        <v>932</v>
      </c>
      <c r="C214" s="21" t="s">
        <v>529</v>
      </c>
      <c r="D214" s="21">
        <v>5</v>
      </c>
      <c r="E214" s="21" t="s">
        <v>972</v>
      </c>
      <c r="F214" s="21" t="s">
        <v>973</v>
      </c>
      <c r="G214" s="21" t="s">
        <v>921</v>
      </c>
      <c r="H214" s="21" t="s">
        <v>533</v>
      </c>
      <c r="I214" s="21"/>
    </row>
    <row r="215" spans="1:9" ht="16.5" customHeight="1" x14ac:dyDescent="0.15">
      <c r="A215" s="25"/>
      <c r="B215" s="25" t="s">
        <v>932</v>
      </c>
      <c r="C215" s="25" t="s">
        <v>529</v>
      </c>
      <c r="D215" s="25">
        <v>5</v>
      </c>
      <c r="E215" s="25" t="s">
        <v>974</v>
      </c>
      <c r="F215" s="25" t="s">
        <v>975</v>
      </c>
      <c r="G215" s="25" t="s">
        <v>921</v>
      </c>
      <c r="H215" s="25" t="s">
        <v>533</v>
      </c>
      <c r="I215" s="25"/>
    </row>
    <row r="216" spans="1:9" ht="16.5" customHeight="1" x14ac:dyDescent="0.15">
      <c r="A216" s="21"/>
      <c r="B216" s="21" t="s">
        <v>932</v>
      </c>
      <c r="C216" s="21" t="s">
        <v>529</v>
      </c>
      <c r="D216" s="21">
        <v>5</v>
      </c>
      <c r="E216" s="21" t="s">
        <v>976</v>
      </c>
      <c r="F216" s="21" t="s">
        <v>977</v>
      </c>
      <c r="G216" s="21" t="s">
        <v>921</v>
      </c>
      <c r="H216" s="21" t="s">
        <v>533</v>
      </c>
      <c r="I216" s="21"/>
    </row>
    <row r="217" spans="1:9" ht="16.5" customHeight="1" x14ac:dyDescent="0.15">
      <c r="A217" s="25"/>
      <c r="B217" s="25" t="s">
        <v>932</v>
      </c>
      <c r="C217" s="25" t="s">
        <v>529</v>
      </c>
      <c r="D217" s="25">
        <v>5</v>
      </c>
      <c r="E217" s="25" t="s">
        <v>978</v>
      </c>
      <c r="F217" s="25" t="s">
        <v>979</v>
      </c>
      <c r="G217" s="25" t="s">
        <v>921</v>
      </c>
      <c r="H217" s="25" t="s">
        <v>533</v>
      </c>
      <c r="I217" s="25"/>
    </row>
    <row r="218" spans="1:9" ht="16.5" customHeight="1" x14ac:dyDescent="0.15">
      <c r="A218" s="21"/>
      <c r="B218" s="21" t="s">
        <v>932</v>
      </c>
      <c r="C218" s="21" t="s">
        <v>529</v>
      </c>
      <c r="D218" s="21">
        <v>5</v>
      </c>
      <c r="E218" s="21" t="s">
        <v>980</v>
      </c>
      <c r="F218" s="21" t="s">
        <v>981</v>
      </c>
      <c r="G218" s="21" t="s">
        <v>921</v>
      </c>
      <c r="H218" s="21" t="s">
        <v>533</v>
      </c>
      <c r="I218" s="21"/>
    </row>
    <row r="219" spans="1:9" ht="15" customHeight="1" x14ac:dyDescent="0.15">
      <c r="A219" s="152" t="s">
        <v>982</v>
      </c>
      <c r="B219" s="153"/>
      <c r="C219" s="153"/>
      <c r="D219" s="153"/>
      <c r="E219" s="153"/>
      <c r="F219" s="153"/>
      <c r="G219" s="153"/>
      <c r="H219" s="153"/>
      <c r="I219" s="154"/>
    </row>
    <row r="220" spans="1:9" ht="15.75" customHeight="1" x14ac:dyDescent="0.15"/>
    <row r="221" spans="1:9" ht="15.75" customHeight="1" x14ac:dyDescent="0.15"/>
    <row r="222" spans="1:9" ht="15.75" customHeight="1" x14ac:dyDescent="0.15"/>
    <row r="223" spans="1:9" ht="15.75" customHeight="1" x14ac:dyDescent="0.15"/>
    <row r="224" spans="1:9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A6:I6"/>
    <mergeCell ref="A219:I219"/>
    <mergeCell ref="A1:I1"/>
    <mergeCell ref="A2:I2"/>
    <mergeCell ref="A3:I3"/>
    <mergeCell ref="A4:I4"/>
    <mergeCell ref="A5:I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3"/>
  <sheetViews>
    <sheetView workbookViewId="0"/>
  </sheetViews>
  <sheetFormatPr defaultColWidth="12.625" defaultRowHeight="15" customHeight="1" x14ac:dyDescent="0.15"/>
  <cols>
    <col min="1" max="1" width="7.109375" customWidth="1"/>
    <col min="2" max="9" width="19.98046875" customWidth="1"/>
    <col min="10" max="40" width="14.33984375" customWidth="1"/>
  </cols>
  <sheetData>
    <row r="1" spans="1:9" ht="16.5" customHeight="1" x14ac:dyDescent="0.15">
      <c r="A1" s="21" t="str">
        <f ca="1">IFERROR(__xludf.DUMMYFUNCTION("IMPORTDATA(""https://docs.google.com/spreadsheets/d/1GVy6R1eoLXDt-16I4I3JVkWiHWyPfZ0C7bGLVnWfFeM/export?format=csv&amp;gid=1359947221"")"),"১৭. ০৫ বছরে ২৫ কোটি বৃক্ষরোপণ কর্মসূচির আওতাভুক্ত হওয়ার লক্ষ্যে সাপ্তাহিকভিত্তিতে বৃক্ষরোপণের তথ্য ই-মেইলযোগে")</f>
        <v>১৭. ০৫ বছরে ২৫ কোটি বৃক্ষরোপণ কর্মসূচির আওতাভুক্ত হওয়ার লক্ষ্যে সাপ্তাহিকভিত্তিতে বৃক্ষরোপণের তথ্য ই-মেইলযোগে</v>
      </c>
      <c r="B1" s="21"/>
      <c r="C1" s="21"/>
      <c r="D1" s="21"/>
      <c r="E1" s="21"/>
      <c r="F1" s="21"/>
      <c r="G1" s="21"/>
      <c r="H1" s="21"/>
      <c r="I1" s="21"/>
    </row>
    <row r="2" spans="1:9" ht="16.5" customHeight="1" x14ac:dyDescent="0.15">
      <c r="A2" s="25" t="str">
        <f ca="1">IFERROR(__xludf.DUMMYFUNCTION("""COMPUTED_VALUE"""),"admonitoring@dae.gov.bd / ddimplement@dae.gov.bd এ প্রেরণ করতে হবে। পরিচালক, সরেজমিন উইং, কৃষি সম্প্রসারণ")</f>
        <v>admonitoring@dae.gov.bd / ddimplement@dae.gov.bd এ প্রেরণ করতে হবে। পরিচালক, সরেজমিন উইং, কৃষি সম্প্রসারণ</v>
      </c>
      <c r="B2" s="25"/>
      <c r="C2" s="25"/>
      <c r="D2" s="25"/>
      <c r="E2" s="25"/>
      <c r="F2" s="25"/>
      <c r="G2" s="25"/>
      <c r="H2" s="25"/>
      <c r="I2" s="25"/>
    </row>
    <row r="3" spans="1:9" ht="16.5" customHeight="1" x14ac:dyDescent="0.15">
      <c r="A3" s="21" t="str">
        <f ca="1">IFERROR(__xludf.DUMMYFUNCTION("""COMPUTED_VALUE"""),"অধিদপ্তর উক্ত তথ্য কৃষি মন্ত্রণালয়ে (E-mail-input2@moa.gov.bd ও moa.input2@gmail.com) আবশ্যিকভাবে প্রেরণ করতে হবে;")</f>
        <v>অধিদপ্তর উক্ত তথ্য কৃষি মন্ত্রণালয়ে (E-mail-input2@moa.gov.bd ও moa.input2@gmail.com) আবশ্যিকভাবে প্রেরণ করতে হবে;</v>
      </c>
      <c r="B3" s="21"/>
      <c r="C3" s="21"/>
      <c r="D3" s="21"/>
      <c r="E3" s="21"/>
      <c r="F3" s="21"/>
      <c r="G3" s="21"/>
      <c r="H3" s="21"/>
      <c r="I3" s="21"/>
    </row>
    <row r="4" spans="1:9" ht="16.5" customHeight="1" x14ac:dyDescent="0.15">
      <c r="A4" s="25"/>
      <c r="B4" s="25"/>
      <c r="C4" s="25"/>
      <c r="D4" s="25"/>
      <c r="E4" s="25"/>
      <c r="F4" s="25"/>
      <c r="G4" s="25"/>
      <c r="H4" s="25"/>
      <c r="I4" s="25"/>
    </row>
    <row r="5" spans="1:9" ht="16.5" customHeight="1" x14ac:dyDescent="0.15">
      <c r="A5" s="21" t="str">
        <f ca="1">IFERROR(__xludf.DUMMYFUNCTION("""COMPUTED_VALUE"""),"ক্রঃ নং")</f>
        <v>ক্রঃ নং</v>
      </c>
      <c r="B5" s="21" t="str">
        <f ca="1">IFERROR(__xludf.DUMMYFUNCTION("""COMPUTED_VALUE"""),"বৃক্ষরোপণের জেলা, উপজেলা, ইউনিয়ন ও গ্রামের নাম")</f>
        <v>বৃক্ষরোপণের জেলা, উপজেলা, ইউনিয়ন ও গ্রামের নাম</v>
      </c>
      <c r="C5" s="21" t="str">
        <f ca="1">IFERROR(__xludf.DUMMYFUNCTION("""COMPUTED_VALUE"""),"রোপণকৃত বৃক্ষের প্রজাতির নাম")</f>
        <v>রোপণকৃত বৃক্ষের প্রজাতির নাম</v>
      </c>
      <c r="D5" s="21" t="str">
        <f ca="1">IFERROR(__xludf.DUMMYFUNCTION("""COMPUTED_VALUE"""),"রোপণকৃত বৃক্ষের সংখ্যা")</f>
        <v>রোপণকৃত বৃক্ষের সংখ্যা</v>
      </c>
      <c r="E5" s="21" t="str">
        <f ca="1">IFERROR(__xludf.DUMMYFUNCTION("""COMPUTED_VALUE"""),"বৃক্ষরোপণের সুনির্দিষ্ট এলাকা (জিওগ্রাফিক্যাল কোঅর্ডিনেটসহ)")</f>
        <v>বৃক্ষরোপণের সুনির্দিষ্ট এলাকা (জিওগ্রাফিক্যাল কোঅর্ডিনেটসহ)</v>
      </c>
      <c r="F5" s="21" t="str">
        <f ca="1">IFERROR(__xludf.DUMMYFUNCTION("""COMPUTED_VALUE"""),"পরিচর্যাকারী কৃষকের নাম ও ফোন নম্বর")</f>
        <v>পরিচর্যাকারী কৃষকের নাম ও ফোন নম্বর</v>
      </c>
      <c r="G5" s="21" t="str">
        <f ca="1">IFERROR(__xludf.DUMMYFUNCTION("""COMPUTED_VALUE"""),"সংশ্লিষ্ট এসএএও-এর নাম ও ফোন নম্বর")</f>
        <v>সংশ্লিষ্ট এসএএও-এর নাম ও ফোন নম্বর</v>
      </c>
      <c r="H5" s="21" t="str">
        <f ca="1">IFERROR(__xludf.DUMMYFUNCTION("""COMPUTED_VALUE"""),"মনিটরিং অফিসারের নাম ও ফোন নম্বর")</f>
        <v>মনিটরিং অফিসারের নাম ও ফোন নম্বর</v>
      </c>
      <c r="I5" s="21" t="str">
        <f ca="1">IFERROR(__xludf.DUMMYFUNCTION("""COMPUTED_VALUE"""),"মন্তব্য")</f>
        <v>মন্তব্য</v>
      </c>
    </row>
    <row r="6" spans="1:9" ht="16.5" customHeight="1" x14ac:dyDescent="0.15">
      <c r="A6" s="25" t="str">
        <f ca="1">IFERROR(__xludf.DUMMYFUNCTION("""COMPUTED_VALUE"""),"১")</f>
        <v>১</v>
      </c>
      <c r="B6" s="25" t="str">
        <f ca="1">IFERROR(__xludf.DUMMYFUNCTION("""COMPUTED_VALUE"""),"২")</f>
        <v>২</v>
      </c>
      <c r="C6" s="25" t="str">
        <f ca="1">IFERROR(__xludf.DUMMYFUNCTION("""COMPUTED_VALUE"""),"৩")</f>
        <v>৩</v>
      </c>
      <c r="D6" s="25" t="str">
        <f ca="1">IFERROR(__xludf.DUMMYFUNCTION("""COMPUTED_VALUE"""),"৪")</f>
        <v>৪</v>
      </c>
      <c r="E6" s="25" t="str">
        <f ca="1">IFERROR(__xludf.DUMMYFUNCTION("""COMPUTED_VALUE"""),"৫")</f>
        <v>৫</v>
      </c>
      <c r="F6" s="25" t="str">
        <f ca="1">IFERROR(__xludf.DUMMYFUNCTION("""COMPUTED_VALUE"""),"৬")</f>
        <v>৬</v>
      </c>
      <c r="G6" s="25" t="str">
        <f ca="1">IFERROR(__xludf.DUMMYFUNCTION("""COMPUTED_VALUE"""),"৭")</f>
        <v>৭</v>
      </c>
      <c r="H6" s="25" t="str">
        <f ca="1">IFERROR(__xludf.DUMMYFUNCTION("""COMPUTED_VALUE"""),"৮")</f>
        <v>৮</v>
      </c>
      <c r="I6" s="25" t="str">
        <f ca="1">IFERROR(__xludf.DUMMYFUNCTION("""COMPUTED_VALUE"""),"৯")</f>
        <v>৯</v>
      </c>
    </row>
    <row r="7" spans="1:9" ht="16.5" customHeight="1" x14ac:dyDescent="0.15">
      <c r="A7" s="21">
        <f ca="1">IFERROR(__xludf.DUMMYFUNCTION("""COMPUTED_VALUE"""),1)</f>
        <v>1</v>
      </c>
      <c r="B7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" s="21">
        <f ca="1">IFERROR(__xludf.DUMMYFUNCTION("""COMPUTED_VALUE"""),5)</f>
        <v>5</v>
      </c>
      <c r="E7" s="21" t="str">
        <f ca="1">IFERROR(__xludf.DUMMYFUNCTION("""COMPUTED_VALUE"""),"25.46272-89.80184")</f>
        <v>25.46272-89.80184</v>
      </c>
      <c r="F7" s="21" t="str">
        <f ca="1">IFERROR(__xludf.DUMMYFUNCTION("""COMPUTED_VALUE"""),"মোঃ জাহিদুল ইসলাম ১৯৫৪২৭৮৭৫৮")</f>
        <v>মোঃ জাহিদুল ইসলাম ১৯৫৪২৭৮৭৫৮</v>
      </c>
      <c r="G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7" s="21" t="str">
        <f ca="1">IFERROR(__xludf.DUMMYFUNCTION("""COMPUTED_VALUE"""),"দিপক দেব নাথ     ১৭৩৮৩৮৫৮১৯")</f>
        <v>দিপক দেব নাথ     ১৭৩৮৩৮৫৮১৯</v>
      </c>
      <c r="I7" s="21"/>
    </row>
    <row r="8" spans="1:9" ht="16.5" customHeight="1" x14ac:dyDescent="0.15">
      <c r="A8" s="25">
        <f ca="1">IFERROR(__xludf.DUMMYFUNCTION("""COMPUTED_VALUE"""),2)</f>
        <v>2</v>
      </c>
      <c r="B8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" s="25">
        <f ca="1">IFERROR(__xludf.DUMMYFUNCTION("""COMPUTED_VALUE"""),5)</f>
        <v>5</v>
      </c>
      <c r="E8" s="25" t="str">
        <f ca="1">IFERROR(__xludf.DUMMYFUNCTION("""COMPUTED_VALUE"""),"25.4597-89.80306")</f>
        <v>25.4597-89.80306</v>
      </c>
      <c r="F8" s="25" t="str">
        <f ca="1">IFERROR(__xludf.DUMMYFUNCTION("""COMPUTED_VALUE"""),"মোঃ আশরাফুল ইসলাম ০১৯৩৪৯২৯৫৩৩")</f>
        <v>মোঃ আশরাফুল ইসলাম ০১৯৩৪৯২৯৫৩৩</v>
      </c>
      <c r="G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8" s="25" t="str">
        <f ca="1">IFERROR(__xludf.DUMMYFUNCTION("""COMPUTED_VALUE"""),"দিপক দেব নাথ     ১৭৩৮৩৮৫৮১৯")</f>
        <v>দিপক দেব নাথ     ১৭৩৮৩৮৫৮১৯</v>
      </c>
      <c r="I8" s="25"/>
    </row>
    <row r="9" spans="1:9" ht="16.5" customHeight="1" x14ac:dyDescent="0.15">
      <c r="A9" s="21">
        <f ca="1">IFERROR(__xludf.DUMMYFUNCTION("""COMPUTED_VALUE"""),3)</f>
        <v>3</v>
      </c>
      <c r="B9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" s="21">
        <f ca="1">IFERROR(__xludf.DUMMYFUNCTION("""COMPUTED_VALUE"""),5)</f>
        <v>5</v>
      </c>
      <c r="E9" s="21" t="str">
        <f ca="1">IFERROR(__xludf.DUMMYFUNCTION("""COMPUTED_VALUE"""),"25.46249-89.80164")</f>
        <v>25.46249-89.80164</v>
      </c>
      <c r="F9" s="21" t="str">
        <f ca="1">IFERROR(__xludf.DUMMYFUNCTION("""COMPUTED_VALUE"""),"মোঃ গোলাম মোস্তফা  ০১৯৮৯৮৩৫৬৯১")</f>
        <v>মোঃ গোলাম মোস্তফা  ০১৯৮৯৮৩৫৬৯১</v>
      </c>
      <c r="G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9" s="21" t="str">
        <f ca="1">IFERROR(__xludf.DUMMYFUNCTION("""COMPUTED_VALUE"""),"দিপক দেব নাথ     ১৭৩৮৩৮৫৮১৯")</f>
        <v>দিপক দেব নাথ     ১৭৩৮৩৮৫৮১৯</v>
      </c>
      <c r="I9" s="21"/>
    </row>
    <row r="10" spans="1:9" ht="16.5" customHeight="1" x14ac:dyDescent="0.15">
      <c r="A10" s="25">
        <f ca="1">IFERROR(__xludf.DUMMYFUNCTION("""COMPUTED_VALUE"""),4)</f>
        <v>4</v>
      </c>
      <c r="B10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" s="25">
        <f ca="1">IFERROR(__xludf.DUMMYFUNCTION("""COMPUTED_VALUE"""),5)</f>
        <v>5</v>
      </c>
      <c r="E10" s="25" t="str">
        <f ca="1">IFERROR(__xludf.DUMMYFUNCTION("""COMPUTED_VALUE"""),"25.4616-89.8001")</f>
        <v>25.4616-89.8001</v>
      </c>
      <c r="F10" s="25" t="str">
        <f ca="1">IFERROR(__xludf.DUMMYFUNCTION("""COMPUTED_VALUE"""),"মোঃ ইব্রাহীম মিয়া  ০১৯১৯৪৩০০৩১")</f>
        <v>মোঃ ইব্রাহীম মিয়া  ০১৯১৯৪৩০০৩১</v>
      </c>
      <c r="G1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0" s="25" t="str">
        <f ca="1">IFERROR(__xludf.DUMMYFUNCTION("""COMPUTED_VALUE"""),"দিপক দেব নাথ     ১৭৩৮৩৮৫৮১৯")</f>
        <v>দিপক দেব নাথ     ১৭৩৮৩৮৫৮১৯</v>
      </c>
      <c r="I10" s="25"/>
    </row>
    <row r="11" spans="1:9" ht="16.5" customHeight="1" x14ac:dyDescent="0.15">
      <c r="A11" s="21">
        <f ca="1">IFERROR(__xludf.DUMMYFUNCTION("""COMPUTED_VALUE"""),5)</f>
        <v>5</v>
      </c>
      <c r="B11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" s="21">
        <f ca="1">IFERROR(__xludf.DUMMYFUNCTION("""COMPUTED_VALUE"""),5)</f>
        <v>5</v>
      </c>
      <c r="E11" s="21" t="str">
        <f ca="1">IFERROR(__xludf.DUMMYFUNCTION("""COMPUTED_VALUE"""),"25.45859-89.80315")</f>
        <v>25.45859-89.80315</v>
      </c>
      <c r="F11" s="21" t="str">
        <f ca="1">IFERROR(__xludf.DUMMYFUNCTION("""COMPUTED_VALUE"""),"মোঃ হাবিবুর রহমান  ০১৯৩৪৯২৮৭০৮")</f>
        <v>মোঃ হাবিবুর রহমান  ০১৯৩৪৯২৮৭০৮</v>
      </c>
      <c r="G1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1" s="21" t="str">
        <f ca="1">IFERROR(__xludf.DUMMYFUNCTION("""COMPUTED_VALUE"""),"দিপক দেব নাথ     ১৭৩৮৩৮৫৮১৯")</f>
        <v>দিপক দেব নাথ     ১৭৩৮৩৮৫৮১৯</v>
      </c>
      <c r="I11" s="21"/>
    </row>
    <row r="12" spans="1:9" ht="16.5" customHeight="1" x14ac:dyDescent="0.15">
      <c r="A12" s="25">
        <f ca="1">IFERROR(__xludf.DUMMYFUNCTION("""COMPUTED_VALUE"""),6)</f>
        <v>6</v>
      </c>
      <c r="B12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" s="25">
        <f ca="1">IFERROR(__xludf.DUMMYFUNCTION("""COMPUTED_VALUE"""),5)</f>
        <v>5</v>
      </c>
      <c r="E12" s="25" t="str">
        <f ca="1">IFERROR(__xludf.DUMMYFUNCTION("""COMPUTED_VALUE"""),"25.46175-89.80015")</f>
        <v>25.46175-89.80015</v>
      </c>
      <c r="F12" s="25" t="str">
        <f ca="1">IFERROR(__xludf.DUMMYFUNCTION("""COMPUTED_VALUE"""),"মোঃ ইয়াছিন আলী   ০১৭২৬৭৬০১৪৪")</f>
        <v>মোঃ ইয়াছিন আলী   ০১৭২৬৭৬০১৪৪</v>
      </c>
      <c r="G1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2" s="25" t="str">
        <f ca="1">IFERROR(__xludf.DUMMYFUNCTION("""COMPUTED_VALUE"""),"দিপক দেব নাথ     ১৭৩৮৩৮৫৮১৯")</f>
        <v>দিপক দেব নাথ     ১৭৩৮৩৮৫৮১৯</v>
      </c>
      <c r="I12" s="25"/>
    </row>
    <row r="13" spans="1:9" ht="16.5" customHeight="1" x14ac:dyDescent="0.15">
      <c r="A13" s="21">
        <f ca="1">IFERROR(__xludf.DUMMYFUNCTION("""COMPUTED_VALUE"""),7)</f>
        <v>7</v>
      </c>
      <c r="B13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" s="21">
        <f ca="1">IFERROR(__xludf.DUMMYFUNCTION("""COMPUTED_VALUE"""),5)</f>
        <v>5</v>
      </c>
      <c r="E13" s="21" t="str">
        <f ca="1">IFERROR(__xludf.DUMMYFUNCTION("""COMPUTED_VALUE"""),"25.4626-89.8012")</f>
        <v>25.4626-89.8012</v>
      </c>
      <c r="F13" s="21" t="str">
        <f ca="1">IFERROR(__xludf.DUMMYFUNCTION("""COMPUTED_VALUE"""),"মোঃ শাহাদত হোসেন  ০১৯১৯৪৩০০৩১")</f>
        <v>মোঃ শাহাদত হোসেন  ০১৯১৯৪৩০০৩১</v>
      </c>
      <c r="G1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3" s="21" t="str">
        <f ca="1">IFERROR(__xludf.DUMMYFUNCTION("""COMPUTED_VALUE"""),"দিপক দেব নাথ     ১৭৩৮৩৮৫৮১৯")</f>
        <v>দিপক দেব নাথ     ১৭৩৮৩৮৫৮১৯</v>
      </c>
      <c r="I13" s="21"/>
    </row>
    <row r="14" spans="1:9" ht="16.5" customHeight="1" x14ac:dyDescent="0.15">
      <c r="A14" s="25">
        <f ca="1">IFERROR(__xludf.DUMMYFUNCTION("""COMPUTED_VALUE"""),8)</f>
        <v>8</v>
      </c>
      <c r="B14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" s="25">
        <f ca="1">IFERROR(__xludf.DUMMYFUNCTION("""COMPUTED_VALUE"""),5)</f>
        <v>5</v>
      </c>
      <c r="E14" s="25" t="str">
        <f ca="1">IFERROR(__xludf.DUMMYFUNCTION("""COMPUTED_VALUE"""),"25.44285-89.78961")</f>
        <v>25.44285-89.78961</v>
      </c>
      <c r="F14" s="25" t="str">
        <f ca="1">IFERROR(__xludf.DUMMYFUNCTION("""COMPUTED_VALUE"""),"মোঃ আঃ ছাত্তার  ০১৬১৪৯৮৬৬০৬")</f>
        <v>মোঃ আঃ ছাত্তার  ০১৬১৪৯৮৬৬০৬</v>
      </c>
      <c r="G1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4" s="25" t="str">
        <f ca="1">IFERROR(__xludf.DUMMYFUNCTION("""COMPUTED_VALUE"""),"দিপক দেব নাথ     ১৭৩৮৩৮৫৮১৯")</f>
        <v>দিপক দেব নাথ     ১৭৩৮৩৮৫৮১৯</v>
      </c>
      <c r="I14" s="25"/>
    </row>
    <row r="15" spans="1:9" ht="16.5" customHeight="1" x14ac:dyDescent="0.15">
      <c r="A15" s="21">
        <f ca="1">IFERROR(__xludf.DUMMYFUNCTION("""COMPUTED_VALUE"""),9)</f>
        <v>9</v>
      </c>
      <c r="B15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" s="21">
        <f ca="1">IFERROR(__xludf.DUMMYFUNCTION("""COMPUTED_VALUE"""),5)</f>
        <v>5</v>
      </c>
      <c r="E15" s="21" t="str">
        <f ca="1">IFERROR(__xludf.DUMMYFUNCTION("""COMPUTED_VALUE"""),"25.46239-89.80166")</f>
        <v>25.46239-89.80166</v>
      </c>
      <c r="F15" s="21" t="str">
        <f ca="1">IFERROR(__xludf.DUMMYFUNCTION("""COMPUTED_VALUE"""),"মোঃ সিরাজুল ইসলাম  ০১৯৩০৩৯০৪৪২")</f>
        <v>মোঃ সিরাজুল ইসলাম  ০১৯৩০৩৯০৪৪২</v>
      </c>
      <c r="G1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5" s="21" t="str">
        <f ca="1">IFERROR(__xludf.DUMMYFUNCTION("""COMPUTED_VALUE"""),"দিপক দেব নাথ     ১৭৩৮৩৮৫৮১৯")</f>
        <v>দিপক দেব নাথ     ১৭৩৮৩৮৫৮১৯</v>
      </c>
      <c r="I15" s="21"/>
    </row>
    <row r="16" spans="1:9" ht="16.5" customHeight="1" x14ac:dyDescent="0.15">
      <c r="A16" s="25">
        <f ca="1">IFERROR(__xludf.DUMMYFUNCTION("""COMPUTED_VALUE"""),10)</f>
        <v>10</v>
      </c>
      <c r="B16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" s="25">
        <f ca="1">IFERROR(__xludf.DUMMYFUNCTION("""COMPUTED_VALUE"""),5)</f>
        <v>5</v>
      </c>
      <c r="E16" s="25" t="str">
        <f ca="1">IFERROR(__xludf.DUMMYFUNCTION("""COMPUTED_VALUE"""),"25.46215-89.80161")</f>
        <v>25.46215-89.80161</v>
      </c>
      <c r="F16" s="25" t="str">
        <f ca="1">IFERROR(__xludf.DUMMYFUNCTION("""COMPUTED_VALUE"""),"মোঃ ছয়নুদ্দিন  ০১৯৪৩০৭১৯২২")</f>
        <v>মোঃ ছয়নুদ্দিন  ০১৯৪৩০৭১৯২২</v>
      </c>
      <c r="G1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6" s="25" t="str">
        <f ca="1">IFERROR(__xludf.DUMMYFUNCTION("""COMPUTED_VALUE"""),"দিপক দেব নাথ     ১৭৩৮৩৮৫৮১৯")</f>
        <v>দিপক দেব নাথ     ১৭৩৮৩৮৫৮১৯</v>
      </c>
      <c r="I16" s="25"/>
    </row>
    <row r="17" spans="1:9" ht="16.5" customHeight="1" x14ac:dyDescent="0.15">
      <c r="A17" s="21">
        <f ca="1">IFERROR(__xludf.DUMMYFUNCTION("""COMPUTED_VALUE"""),11)</f>
        <v>11</v>
      </c>
      <c r="B17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1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" s="21">
        <f ca="1">IFERROR(__xludf.DUMMYFUNCTION("""COMPUTED_VALUE"""),5)</f>
        <v>5</v>
      </c>
      <c r="E17" s="21" t="str">
        <f ca="1">IFERROR(__xludf.DUMMYFUNCTION("""COMPUTED_VALUE"""),"25.44121-89.78539")</f>
        <v>25.44121-89.78539</v>
      </c>
      <c r="F17" s="21" t="str">
        <f ca="1">IFERROR(__xludf.DUMMYFUNCTION("""COMPUTED_VALUE"""),"মোছাঃ সুলতানা পারভীন  ০১৯৮৯৩৩৯৫৭৬")</f>
        <v>মোছাঃ সুলতানা পারভীন  ০১৯৮৯৩৩৯৫৭৬</v>
      </c>
      <c r="G1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7" s="21" t="str">
        <f ca="1">IFERROR(__xludf.DUMMYFUNCTION("""COMPUTED_VALUE"""),"দিপক দেব নাথ     ১৭৩৮৩৮৫৮১৯")</f>
        <v>দিপক দেব নাথ     ১৭৩৮৩৮৫৮১৯</v>
      </c>
      <c r="I17" s="21"/>
    </row>
    <row r="18" spans="1:9" ht="16.5" customHeight="1" x14ac:dyDescent="0.15">
      <c r="A18" s="25">
        <f ca="1">IFERROR(__xludf.DUMMYFUNCTION("""COMPUTED_VALUE"""),12)</f>
        <v>12</v>
      </c>
      <c r="B18" s="25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1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" s="25">
        <f ca="1">IFERROR(__xludf.DUMMYFUNCTION("""COMPUTED_VALUE"""),5)</f>
        <v>5</v>
      </c>
      <c r="E18" s="25" t="str">
        <f ca="1">IFERROR(__xludf.DUMMYFUNCTION("""COMPUTED_VALUE"""),"25.44401-89.78675")</f>
        <v>25.44401-89.78675</v>
      </c>
      <c r="F18" s="25" t="str">
        <f ca="1">IFERROR(__xludf.DUMMYFUNCTION("""COMPUTED_VALUE"""),"মোঃ ছরোয়ার হোসেন  ০১৯০৩১২৪৮৮১")</f>
        <v>মোঃ ছরোয়ার হোসেন  ০১৯০৩১২৪৮৮১</v>
      </c>
      <c r="G1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8" s="25" t="str">
        <f ca="1">IFERROR(__xludf.DUMMYFUNCTION("""COMPUTED_VALUE"""),"দিপক দেব নাথ     ১৭৩৮৩৮৫৮১৯")</f>
        <v>দিপক দেব নাথ     ১৭৩৮৩৮৫৮১৯</v>
      </c>
      <c r="I18" s="25"/>
    </row>
    <row r="19" spans="1:9" ht="16.5" customHeight="1" x14ac:dyDescent="0.15">
      <c r="A19" s="21">
        <f ca="1">IFERROR(__xludf.DUMMYFUNCTION("""COMPUTED_VALUE"""),13)</f>
        <v>13</v>
      </c>
      <c r="B19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1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" s="21">
        <f ca="1">IFERROR(__xludf.DUMMYFUNCTION("""COMPUTED_VALUE"""),5)</f>
        <v>5</v>
      </c>
      <c r="E19" s="21" t="str">
        <f ca="1">IFERROR(__xludf.DUMMYFUNCTION("""COMPUTED_VALUE"""),"25.44063-89.78534")</f>
        <v>25.44063-89.78534</v>
      </c>
      <c r="F19" s="21" t="str">
        <f ca="1">IFERROR(__xludf.DUMMYFUNCTION("""COMPUTED_VALUE"""),"মোছাঃ শরিফা খাতুন  ০১৯১৪৯৪৩৪৬৪")</f>
        <v>মোছাঃ শরিফা খাতুন  ০১৯১৪৯৪৩৪৬৪</v>
      </c>
      <c r="G1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9" s="21" t="str">
        <f ca="1">IFERROR(__xludf.DUMMYFUNCTION("""COMPUTED_VALUE"""),"দিপক দেব নাথ     ১৭৩৮৩৮৫৮১৯")</f>
        <v>দিপক দেব নাথ     ১৭৩৮৩৮৫৮১৯</v>
      </c>
      <c r="I19" s="21"/>
    </row>
    <row r="20" spans="1:9" ht="16.5" customHeight="1" x14ac:dyDescent="0.15">
      <c r="A20" s="25">
        <f ca="1">IFERROR(__xludf.DUMMYFUNCTION("""COMPUTED_VALUE"""),14)</f>
        <v>14</v>
      </c>
      <c r="B20" s="25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" s="25">
        <f ca="1">IFERROR(__xludf.DUMMYFUNCTION("""COMPUTED_VALUE"""),5)</f>
        <v>5</v>
      </c>
      <c r="E20" s="25" t="str">
        <f ca="1">IFERROR(__xludf.DUMMYFUNCTION("""COMPUTED_VALUE"""),"25.43533-89.77657")</f>
        <v>25.43533-89.77657</v>
      </c>
      <c r="F20" s="25" t="str">
        <f ca="1">IFERROR(__xludf.DUMMYFUNCTION("""COMPUTED_VALUE"""),"মোছাঃ আনিছা খাতুন  ০১৯৫৫১৫৬৪৪৭")</f>
        <v>মোছাঃ আনিছা খাতুন  ০১৯৫৫১৫৬৪৪৭</v>
      </c>
      <c r="G2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0" s="25" t="str">
        <f ca="1">IFERROR(__xludf.DUMMYFUNCTION("""COMPUTED_VALUE"""),"দিপক দেব নাথ     ১৭৩৮৩৮৫৮১৯")</f>
        <v>দিপক দেব নাথ     ১৭৩৮৩৮৫৮১৯</v>
      </c>
      <c r="I20" s="25"/>
    </row>
    <row r="21" spans="1:9" ht="16.5" customHeight="1" x14ac:dyDescent="0.15">
      <c r="A21" s="21">
        <f ca="1">IFERROR(__xludf.DUMMYFUNCTION("""COMPUTED_VALUE"""),15)</f>
        <v>15</v>
      </c>
      <c r="B21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" s="21">
        <f ca="1">IFERROR(__xludf.DUMMYFUNCTION("""COMPUTED_VALUE"""),5)</f>
        <v>5</v>
      </c>
      <c r="E21" s="21" t="str">
        <f ca="1">IFERROR(__xludf.DUMMYFUNCTION("""COMPUTED_VALUE"""),"25.44216-89.78666")</f>
        <v>25.44216-89.78666</v>
      </c>
      <c r="F21" s="21" t="str">
        <f ca="1">IFERROR(__xludf.DUMMYFUNCTION("""COMPUTED_VALUE"""),"মোছাঃ মজিরন খাতুন  ০১৯৭৭৮৮২৪৭৪")</f>
        <v>মোছাঃ মজিরন খাতুন  ০১৯৭৭৮৮২৪৭৪</v>
      </c>
      <c r="G2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1" s="21" t="str">
        <f ca="1">IFERROR(__xludf.DUMMYFUNCTION("""COMPUTED_VALUE"""),"দিপক দেব নাথ     ১৭৩৮৩৮৫৮১৯")</f>
        <v>দিপক দেব নাথ     ১৭৩৮৩৮৫৮১৯</v>
      </c>
      <c r="I21" s="21"/>
    </row>
    <row r="22" spans="1:9" ht="16.5" customHeight="1" x14ac:dyDescent="0.15">
      <c r="A22" s="25">
        <f ca="1">IFERROR(__xludf.DUMMYFUNCTION("""COMPUTED_VALUE"""),16)</f>
        <v>16</v>
      </c>
      <c r="B22" s="25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2" s="25">
        <f ca="1">IFERROR(__xludf.DUMMYFUNCTION("""COMPUTED_VALUE"""),5)</f>
        <v>5</v>
      </c>
      <c r="E22" s="25" t="str">
        <f ca="1">IFERROR(__xludf.DUMMYFUNCTION("""COMPUTED_VALUE"""),"25.43564-89.7833")</f>
        <v>25.43564-89.7833</v>
      </c>
      <c r="F22" s="25" t="str">
        <f ca="1">IFERROR(__xludf.DUMMYFUNCTION("""COMPUTED_VALUE"""),"মোঃ হেকমত আলী  ০১৭১৯৫০৮২১১")</f>
        <v>মোঃ হেকমত আলী  ০১৭১৯৫০৮২১১</v>
      </c>
      <c r="G2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2" s="25" t="str">
        <f ca="1">IFERROR(__xludf.DUMMYFUNCTION("""COMPUTED_VALUE"""),"দিপক দেব নাথ     ১৭৩৮৩৮৫৮১৯")</f>
        <v>দিপক দেব নাথ     ১৭৩৮৩৮৫৮১৯</v>
      </c>
      <c r="I22" s="25"/>
    </row>
    <row r="23" spans="1:9" ht="16.5" customHeight="1" x14ac:dyDescent="0.15">
      <c r="A23" s="21">
        <f ca="1">IFERROR(__xludf.DUMMYFUNCTION("""COMPUTED_VALUE"""),17)</f>
        <v>17</v>
      </c>
      <c r="B23" s="21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2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3" s="21">
        <f ca="1">IFERROR(__xludf.DUMMYFUNCTION("""COMPUTED_VALUE"""),5)</f>
        <v>5</v>
      </c>
      <c r="E23" s="21" t="str">
        <f ca="1">IFERROR(__xludf.DUMMYFUNCTION("""COMPUTED_VALUE"""),"25.44216-89.78666")</f>
        <v>25.44216-89.78666</v>
      </c>
      <c r="F23" s="21" t="str">
        <f ca="1">IFERROR(__xludf.DUMMYFUNCTION("""COMPUTED_VALUE"""),"মোছাঃ সাবানা আক্তার  ০১৯৩০৮৩৩৩২৭")</f>
        <v>মোছাঃ সাবানা আক্তার  ০১৯৩০৮৩৩৩২৭</v>
      </c>
      <c r="G2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3" s="21" t="str">
        <f ca="1">IFERROR(__xludf.DUMMYFUNCTION("""COMPUTED_VALUE"""),"দিপক দেব নাথ     ১৭৩৮৩৮৫৮১৯")</f>
        <v>দিপক দেব নাথ     ১৭৩৮৩৮৫৮১৯</v>
      </c>
      <c r="I23" s="21"/>
    </row>
    <row r="24" spans="1:9" ht="16.5" customHeight="1" x14ac:dyDescent="0.15">
      <c r="A24" s="25">
        <f ca="1">IFERROR(__xludf.DUMMYFUNCTION("""COMPUTED_VALUE"""),18)</f>
        <v>18</v>
      </c>
      <c r="B24" s="25" t="str">
        <f ca="1">IFERROR(__xludf.DUMMYFUNCTION("""COMPUTED_VALUE"""),"গ্রামঃ মেম্বারপাড়া, ইউনিয়নঃ রাজিবপুর, উপজেলাঃ চর রাজিবপুর, জেলাঃ কুড়িগ্রাম।")</f>
        <v>গ্রামঃ মেম্বারপাড়া, ইউনিয়নঃ রাজিবপুর, উপজেলাঃ চর রাজিবপুর, জেলাঃ কুড়িগ্রাম।</v>
      </c>
      <c r="C2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4" s="25">
        <f ca="1">IFERROR(__xludf.DUMMYFUNCTION("""COMPUTED_VALUE"""),5)</f>
        <v>5</v>
      </c>
      <c r="E24" s="25" t="str">
        <f ca="1">IFERROR(__xludf.DUMMYFUNCTION("""COMPUTED_VALUE"""),"25.44969-89.79031")</f>
        <v>25.44969-89.79031</v>
      </c>
      <c r="F24" s="25" t="str">
        <f ca="1">IFERROR(__xludf.DUMMYFUNCTION("""COMPUTED_VALUE"""),"মোছাঃ আছিয়া খাতুন  ০১৯৪৭২২৬৭৩০")</f>
        <v>মোছাঃ আছিয়া খাতুন  ০১৯৪৭২২৬৭৩০</v>
      </c>
      <c r="G2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4" s="25" t="str">
        <f ca="1">IFERROR(__xludf.DUMMYFUNCTION("""COMPUTED_VALUE"""),"দিপক দেব নাথ     ১৭৩৮৩৮৫৮১৯")</f>
        <v>দিপক দেব নাথ     ১৭৩৮৩৮৫৮১৯</v>
      </c>
      <c r="I24" s="25"/>
    </row>
    <row r="25" spans="1:9" ht="16.5" customHeight="1" x14ac:dyDescent="0.15">
      <c r="A25" s="21">
        <f ca="1">IFERROR(__xludf.DUMMYFUNCTION("""COMPUTED_VALUE"""),19)</f>
        <v>19</v>
      </c>
      <c r="B25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5" s="21">
        <f ca="1">IFERROR(__xludf.DUMMYFUNCTION("""COMPUTED_VALUE"""),5)</f>
        <v>5</v>
      </c>
      <c r="E25" s="21" t="str">
        <f ca="1">IFERROR(__xludf.DUMMYFUNCTION("""COMPUTED_VALUE"""),"25.46134-89.79856")</f>
        <v>25.46134-89.79856</v>
      </c>
      <c r="F25" s="21" t="str">
        <f ca="1">IFERROR(__xludf.DUMMYFUNCTION("""COMPUTED_VALUE"""),"মোছাঃ শ্যামলী আকতার   ০১৪০৮০০০৮৬২")</f>
        <v>মোছাঃ শ্যামলী আকতার   ০১৪০৮০০০৮৬২</v>
      </c>
      <c r="G2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5" s="21" t="str">
        <f ca="1">IFERROR(__xludf.DUMMYFUNCTION("""COMPUTED_VALUE"""),"দিপক দেব নাথ     ১৭৩৮৩৮৫৮১৯")</f>
        <v>দিপক দেব নাথ     ১৭৩৮৩৮৫৮১৯</v>
      </c>
      <c r="I25" s="21"/>
    </row>
    <row r="26" spans="1:9" ht="16.5" customHeight="1" x14ac:dyDescent="0.15">
      <c r="A26" s="25">
        <f ca="1">IFERROR(__xludf.DUMMYFUNCTION("""COMPUTED_VALUE"""),20)</f>
        <v>20</v>
      </c>
      <c r="B26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6" s="25">
        <f ca="1">IFERROR(__xludf.DUMMYFUNCTION("""COMPUTED_VALUE"""),5)</f>
        <v>5</v>
      </c>
      <c r="E26" s="25" t="str">
        <f ca="1">IFERROR(__xludf.DUMMYFUNCTION("""COMPUTED_VALUE"""),"25.45972-89.79661")</f>
        <v>25.45972-89.79661</v>
      </c>
      <c r="F26" s="25" t="str">
        <f ca="1">IFERROR(__xludf.DUMMYFUNCTION("""COMPUTED_VALUE"""),"মোঃ আকবর হোসেন  ০১৮৯১৭২৩৪৭১")</f>
        <v>মোঃ আকবর হোসেন  ০১৮৯১৭২৩৪৭১</v>
      </c>
      <c r="G2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6" s="25" t="str">
        <f ca="1">IFERROR(__xludf.DUMMYFUNCTION("""COMPUTED_VALUE"""),"দিপক দেব নাথ     ১৭৩৮৩৮৫৮১৯")</f>
        <v>দিপক দেব নাথ     ১৭৩৮৩৮৫৮১৯</v>
      </c>
      <c r="I26" s="25"/>
    </row>
    <row r="27" spans="1:9" ht="16.5" customHeight="1" x14ac:dyDescent="0.15">
      <c r="A27" s="21">
        <f ca="1">IFERROR(__xludf.DUMMYFUNCTION("""COMPUTED_VALUE"""),21)</f>
        <v>21</v>
      </c>
      <c r="B27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7" s="21">
        <f ca="1">IFERROR(__xludf.DUMMYFUNCTION("""COMPUTED_VALUE"""),5)</f>
        <v>5</v>
      </c>
      <c r="E27" s="21" t="str">
        <f ca="1">IFERROR(__xludf.DUMMYFUNCTION("""COMPUTED_VALUE"""),"25.45675-89.79392")</f>
        <v>25.45675-89.79392</v>
      </c>
      <c r="F27" s="21" t="str">
        <f ca="1">IFERROR(__xludf.DUMMYFUNCTION("""COMPUTED_VALUE"""),"মোঃ আঃ আলিম ০১৯১২২৬৯৪২০")</f>
        <v>মোঃ আঃ আলিম ০১৯১২২৬৯৪২০</v>
      </c>
      <c r="G2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7" s="21" t="str">
        <f ca="1">IFERROR(__xludf.DUMMYFUNCTION("""COMPUTED_VALUE"""),"দিপক দেব নাথ     ১৭৩৮৩৮৫৮১৯")</f>
        <v>দিপক দেব নাথ     ১৭৩৮৩৮৫৮১৯</v>
      </c>
      <c r="I27" s="21"/>
    </row>
    <row r="28" spans="1:9" ht="16.5" customHeight="1" x14ac:dyDescent="0.15">
      <c r="A28" s="25">
        <f ca="1">IFERROR(__xludf.DUMMYFUNCTION("""COMPUTED_VALUE"""),22)</f>
        <v>22</v>
      </c>
      <c r="B28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8" s="25">
        <f ca="1">IFERROR(__xludf.DUMMYFUNCTION("""COMPUTED_VALUE"""),5)</f>
        <v>5</v>
      </c>
      <c r="E28" s="25" t="str">
        <f ca="1">IFERROR(__xludf.DUMMYFUNCTION("""COMPUTED_VALUE"""),"25.45845-89.79543")</f>
        <v>25.45845-89.79543</v>
      </c>
      <c r="F28" s="25" t="str">
        <f ca="1">IFERROR(__xludf.DUMMYFUNCTION("""COMPUTED_VALUE"""),"মোছাঃ জমিলা খাতুন  ০১৮৪৫১৯৯৩০২")</f>
        <v>মোছাঃ জমিলা খাতুন  ০১৮৪৫১৯৯৩০২</v>
      </c>
      <c r="G2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8" s="25" t="str">
        <f ca="1">IFERROR(__xludf.DUMMYFUNCTION("""COMPUTED_VALUE"""),"দিপক দেব নাথ     ১৭৩৮৩৮৫৮১৯")</f>
        <v>দিপক দেব নাথ     ১৭৩৮৩৮৫৮১৯</v>
      </c>
      <c r="I28" s="25"/>
    </row>
    <row r="29" spans="1:9" ht="16.5" customHeight="1" x14ac:dyDescent="0.15">
      <c r="A29" s="21">
        <f ca="1">IFERROR(__xludf.DUMMYFUNCTION("""COMPUTED_VALUE"""),23)</f>
        <v>23</v>
      </c>
      <c r="B29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9" s="21">
        <f ca="1">IFERROR(__xludf.DUMMYFUNCTION("""COMPUTED_VALUE"""),5)</f>
        <v>5</v>
      </c>
      <c r="E29" s="21" t="str">
        <f ca="1">IFERROR(__xludf.DUMMYFUNCTION("""COMPUTED_VALUE"""),"25.45699-89.79346")</f>
        <v>25.45699-89.79346</v>
      </c>
      <c r="F29" s="21" t="str">
        <f ca="1">IFERROR(__xludf.DUMMYFUNCTION("""COMPUTED_VALUE"""),"মোছাঃ ছালেহা খাতুন   ০১৯১২২৬৯৪২০")</f>
        <v>মোছাঃ ছালেহা খাতুন   ০১৯১২২৬৯৪২০</v>
      </c>
      <c r="G2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9" s="21" t="str">
        <f ca="1">IFERROR(__xludf.DUMMYFUNCTION("""COMPUTED_VALUE"""),"দিপক দেব নাথ     ১৭৩৮৩৮৫৮১৯")</f>
        <v>দিপক দেব নাথ     ১৭৩৮৩৮৫৮১৯</v>
      </c>
      <c r="I29" s="21"/>
    </row>
    <row r="30" spans="1:9" ht="16.5" customHeight="1" x14ac:dyDescent="0.15">
      <c r="A30" s="25">
        <f ca="1">IFERROR(__xludf.DUMMYFUNCTION("""COMPUTED_VALUE"""),24)</f>
        <v>24</v>
      </c>
      <c r="B30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3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0" s="25">
        <f ca="1">IFERROR(__xludf.DUMMYFUNCTION("""COMPUTED_VALUE"""),5)</f>
        <v>5</v>
      </c>
      <c r="E30" s="25" t="str">
        <f ca="1">IFERROR(__xludf.DUMMYFUNCTION("""COMPUTED_VALUE"""),"25.45466-89.79129")</f>
        <v>25.45466-89.79129</v>
      </c>
      <c r="F30" s="25" t="str">
        <f ca="1">IFERROR(__xludf.DUMMYFUNCTION("""COMPUTED_VALUE"""),"মোঃ রমজান আলী  ০১৮২২৪০৭৮৩৩")</f>
        <v>মোঃ রমজান আলী  ০১৮২২৪০৭৮৩৩</v>
      </c>
      <c r="G3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0" s="25" t="str">
        <f ca="1">IFERROR(__xludf.DUMMYFUNCTION("""COMPUTED_VALUE"""),"দিপক দেব নাথ     ১৭৩৮৩৮৫৮১৯")</f>
        <v>দিপক দেব নাথ     ১৭৩৮৩৮৫৮১৯</v>
      </c>
      <c r="I30" s="25"/>
    </row>
    <row r="31" spans="1:9" ht="16.5" customHeight="1" x14ac:dyDescent="0.15">
      <c r="A31" s="21">
        <f ca="1">IFERROR(__xludf.DUMMYFUNCTION("""COMPUTED_VALUE"""),25)</f>
        <v>25</v>
      </c>
      <c r="B31" s="21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1" s="21">
        <f ca="1">IFERROR(__xludf.DUMMYFUNCTION("""COMPUTED_VALUE"""),5)</f>
        <v>5</v>
      </c>
      <c r="E31" s="21" t="str">
        <f ca="1">IFERROR(__xludf.DUMMYFUNCTION("""COMPUTED_VALUE"""),"25.45667-89.7662")</f>
        <v>25.45667-89.7662</v>
      </c>
      <c r="F31" s="21" t="str">
        <f ca="1">IFERROR(__xludf.DUMMYFUNCTION("""COMPUTED_VALUE"""),"মোঃ আঃ সামাদ   ০১৯৮৯৬২৩৬১৯")</f>
        <v>মোঃ আঃ সামাদ   ০১৯৮৯৬২৩৬১৯</v>
      </c>
      <c r="G3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1" s="21" t="str">
        <f ca="1">IFERROR(__xludf.DUMMYFUNCTION("""COMPUTED_VALUE"""),"দিপক দেব নাথ     ১৭৩৮৩৮৫৮১৯")</f>
        <v>দিপক দেব নাথ     ১৭৩৮৩৮৫৮১৯</v>
      </c>
      <c r="I31" s="21"/>
    </row>
    <row r="32" spans="1:9" ht="16.5" customHeight="1" x14ac:dyDescent="0.15">
      <c r="A32" s="25">
        <f ca="1">IFERROR(__xludf.DUMMYFUNCTION("""COMPUTED_VALUE"""),26)</f>
        <v>26</v>
      </c>
      <c r="B32" s="25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3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2" s="25">
        <f ca="1">IFERROR(__xludf.DUMMYFUNCTION("""COMPUTED_VALUE"""),5)</f>
        <v>5</v>
      </c>
      <c r="E32" s="25" t="str">
        <f ca="1">IFERROR(__xludf.DUMMYFUNCTION("""COMPUTED_VALUE"""),"25.44236-89.78676")</f>
        <v>25.44236-89.78676</v>
      </c>
      <c r="F32" s="25" t="str">
        <f ca="1">IFERROR(__xludf.DUMMYFUNCTION("""COMPUTED_VALUE"""),"মোঃ লুৎফর রহমান  ০১৮৪৯৭০২১৫৪")</f>
        <v>মোঃ লুৎফর রহমান  ০১৮৪৯৭০২১৫৪</v>
      </c>
      <c r="G3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2" s="25" t="str">
        <f ca="1">IFERROR(__xludf.DUMMYFUNCTION("""COMPUTED_VALUE"""),"দিপক দেব নাথ     ১৭৩৮৩৮৫৮১৯")</f>
        <v>দিপক দেব নাথ     ১৭৩৮৩৮৫৮১৯</v>
      </c>
      <c r="I32" s="25"/>
    </row>
    <row r="33" spans="1:9" ht="16.5" customHeight="1" x14ac:dyDescent="0.15">
      <c r="A33" s="21">
        <f ca="1">IFERROR(__xludf.DUMMYFUNCTION("""COMPUTED_VALUE"""),27)</f>
        <v>27</v>
      </c>
      <c r="B33" s="21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3" s="21">
        <f ca="1">IFERROR(__xludf.DUMMYFUNCTION("""COMPUTED_VALUE"""),5)</f>
        <v>5</v>
      </c>
      <c r="E33" s="21" t="str">
        <f ca="1">IFERROR(__xludf.DUMMYFUNCTION("""COMPUTED_VALUE"""),"25.45699-89.76707")</f>
        <v>25.45699-89.76707</v>
      </c>
      <c r="F33" s="21" t="str">
        <f ca="1">IFERROR(__xludf.DUMMYFUNCTION("""COMPUTED_VALUE"""),"মোঃ আবু বক্কর  ০১৯৮৯০০৮৭০৯")</f>
        <v>মোঃ আবু বক্কর  ০১৯৮৯০০৮৭০৯</v>
      </c>
      <c r="G3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3" s="21" t="str">
        <f ca="1">IFERROR(__xludf.DUMMYFUNCTION("""COMPUTED_VALUE"""),"দিপক দেব নাথ     ১৭৩৮৩৮৫৮১৯")</f>
        <v>দিপক দেব নাথ     ১৭৩৮৩৮৫৮১৯</v>
      </c>
      <c r="I33" s="21"/>
    </row>
    <row r="34" spans="1:9" ht="16.5" customHeight="1" x14ac:dyDescent="0.15">
      <c r="A34" s="25">
        <f ca="1">IFERROR(__xludf.DUMMYFUNCTION("""COMPUTED_VALUE"""),28)</f>
        <v>28</v>
      </c>
      <c r="B34" s="25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4" s="25">
        <f ca="1">IFERROR(__xludf.DUMMYFUNCTION("""COMPUTED_VALUE"""),5)</f>
        <v>5</v>
      </c>
      <c r="E34" s="25" t="str">
        <f ca="1">IFERROR(__xludf.DUMMYFUNCTION("""COMPUTED_VALUE"""),"25.45780-89.76787")</f>
        <v>25.45780-89.76787</v>
      </c>
      <c r="F34" s="25" t="str">
        <f ca="1">IFERROR(__xludf.DUMMYFUNCTION("""COMPUTED_VALUE"""),"মোঃ বদিউজ্জামান  ০১৯৬৪৩৪৪৯২২")</f>
        <v>মোঃ বদিউজ্জামান  ০১৯৬৪৩৪৪৯২২</v>
      </c>
      <c r="G3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4" s="25" t="str">
        <f ca="1">IFERROR(__xludf.DUMMYFUNCTION("""COMPUTED_VALUE"""),"দিপক দেব নাথ     ১৭৩৮৩৮৫৮১৯")</f>
        <v>দিপক দেব নাথ     ১৭৩৮৩৮৫৮১৯</v>
      </c>
      <c r="I34" s="25"/>
    </row>
    <row r="35" spans="1:9" ht="16.5" customHeight="1" x14ac:dyDescent="0.15">
      <c r="A35" s="21">
        <f ca="1">IFERROR(__xludf.DUMMYFUNCTION("""COMPUTED_VALUE"""),29)</f>
        <v>29</v>
      </c>
      <c r="B35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3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5" s="21">
        <f ca="1">IFERROR(__xludf.DUMMYFUNCTION("""COMPUTED_VALUE"""),5)</f>
        <v>5</v>
      </c>
      <c r="E35" s="21" t="str">
        <f ca="1">IFERROR(__xludf.DUMMYFUNCTION("""COMPUTED_VALUE"""),"25.45916-89.80309")</f>
        <v>25.45916-89.80309</v>
      </c>
      <c r="F35" s="21" t="str">
        <f ca="1">IFERROR(__xludf.DUMMYFUNCTION("""COMPUTED_VALUE"""),"মোঃ গোলাম হোসেন  ০১৯৪১৪১০৫৯")</f>
        <v>মোঃ গোলাম হোসেন  ০১৯৪১৪১০৫৯</v>
      </c>
      <c r="G3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5" s="21" t="str">
        <f ca="1">IFERROR(__xludf.DUMMYFUNCTION("""COMPUTED_VALUE"""),"দিপক দেব নাথ     ১৭৩৮৩৮৫৮১৯")</f>
        <v>দিপক দেব নাথ     ১৭৩৮৩৮৫৮১৯</v>
      </c>
      <c r="I35" s="21"/>
    </row>
    <row r="36" spans="1:9" ht="16.5" customHeight="1" x14ac:dyDescent="0.15">
      <c r="A36" s="25">
        <f ca="1">IFERROR(__xludf.DUMMYFUNCTION("""COMPUTED_VALUE"""),30)</f>
        <v>30</v>
      </c>
      <c r="B36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3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6" s="25">
        <f ca="1">IFERROR(__xludf.DUMMYFUNCTION("""COMPUTED_VALUE"""),5)</f>
        <v>5</v>
      </c>
      <c r="E36" s="25" t="str">
        <f ca="1">IFERROR(__xludf.DUMMYFUNCTION("""COMPUTED_VALUE"""),"২৫.৪৫৬৬১-৮৯.৮১১৩১")</f>
        <v>২৫.৪৫৬৬১-৮৯.৮১১৩১</v>
      </c>
      <c r="F36" s="25" t="str">
        <f ca="1">IFERROR(__xludf.DUMMYFUNCTION("""COMPUTED_VALUE"""),"মোঃ আব্দুল ওয়াদুদ ০১৭৩৪৪২০২৭৭")</f>
        <v>মোঃ আব্দুল ওয়াদুদ ০১৭৩৪৪২০২৭৭</v>
      </c>
      <c r="G3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6" s="25" t="str">
        <f ca="1">IFERROR(__xludf.DUMMYFUNCTION("""COMPUTED_VALUE"""),"দিপক দেব নাথ     ১৭৩৮৩৮৫৮১৯")</f>
        <v>দিপক দেব নাথ     ১৭৩৮৩৮৫৮১৯</v>
      </c>
      <c r="I36" s="25"/>
    </row>
    <row r="37" spans="1:9" ht="16.5" customHeight="1" x14ac:dyDescent="0.15">
      <c r="A37" s="21">
        <f ca="1">IFERROR(__xludf.DUMMYFUNCTION("""COMPUTED_VALUE"""),31)</f>
        <v>31</v>
      </c>
      <c r="B37" s="21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3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7" s="21">
        <f ca="1">IFERROR(__xludf.DUMMYFUNCTION("""COMPUTED_VALUE"""),5)</f>
        <v>5</v>
      </c>
      <c r="E37" s="21" t="str">
        <f ca="1">IFERROR(__xludf.DUMMYFUNCTION("""COMPUTED_VALUE"""),"২৫.৪৫৫২২-৮৯.৮০৮০২")</f>
        <v>২৫.৪৫৫২২-৮৯.৮০৮০২</v>
      </c>
      <c r="F37" s="21" t="str">
        <f ca="1">IFERROR(__xludf.DUMMYFUNCTION("""COMPUTED_VALUE"""),"মোছাঃ লতফিা বগেম ০১৯৪৪৩২২২৭০")</f>
        <v>মোছাঃ লতফিা বগেম ০১৯৪৪৩২২২৭০</v>
      </c>
      <c r="G37" s="21" t="str">
        <f ca="1">IFERROR(__xludf.DUMMYFUNCTION("""COMPUTED_VALUE"""),"মোঃ জহুরুল হক, ০১৭৮৫৬৬২৩৩৬")</f>
        <v>মোঃ জহুরুল হক, ০১৭৮৫৬৬২৩৩৬</v>
      </c>
      <c r="H37" s="21" t="str">
        <f ca="1">IFERROR(__xludf.DUMMYFUNCTION("""COMPUTED_VALUE"""),"দিপক দেব নাথ     ১৭৩৮৩৮৫৮১৯")</f>
        <v>দিপক দেব নাথ     ১৭৩৮৩৮৫৮১৯</v>
      </c>
      <c r="I37" s="21"/>
    </row>
    <row r="38" spans="1:9" ht="16.5" customHeight="1" x14ac:dyDescent="0.15">
      <c r="A38" s="25">
        <f ca="1">IFERROR(__xludf.DUMMYFUNCTION("""COMPUTED_VALUE"""),32)</f>
        <v>32</v>
      </c>
      <c r="B38" s="25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3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8" s="25">
        <f ca="1">IFERROR(__xludf.DUMMYFUNCTION("""COMPUTED_VALUE"""),5)</f>
        <v>5</v>
      </c>
      <c r="E38" s="25" t="str">
        <f ca="1">IFERROR(__xludf.DUMMYFUNCTION("""COMPUTED_VALUE"""),"২৫.৪৫৪৬৫-৮৯.৮০৭৭১")</f>
        <v>২৫.৪৫৪৬৫-৮৯.৮০৭৭১</v>
      </c>
      <c r="F38" s="25" t="str">
        <f ca="1">IFERROR(__xludf.DUMMYFUNCTION("""COMPUTED_VALUE"""),"মোঃ মালকো বগেম ০১৯৮৯৮৩৫৬৯০")</f>
        <v>মোঃ মালকো বগেম ০১৯৮৯৮৩৫৬৯০</v>
      </c>
      <c r="G38" s="25" t="str">
        <f ca="1">IFERROR(__xludf.DUMMYFUNCTION("""COMPUTED_VALUE"""),"মোঃ জহুরুল হক, ০১৭৮৫৬৬২৩৩৬")</f>
        <v>মোঃ জহুরুল হক, ০১৭৮৫৬৬২৩৩৬</v>
      </c>
      <c r="H38" s="25" t="str">
        <f ca="1">IFERROR(__xludf.DUMMYFUNCTION("""COMPUTED_VALUE"""),"দিপক দেব নাথ     ১৭৩৮৩৮৫৮১৯")</f>
        <v>দিপক দেব নাথ     ১৭৩৮৩৮৫৮১৯</v>
      </c>
      <c r="I38" s="25"/>
    </row>
    <row r="39" spans="1:9" ht="16.5" customHeight="1" x14ac:dyDescent="0.15">
      <c r="A39" s="21">
        <f ca="1">IFERROR(__xludf.DUMMYFUNCTION("""COMPUTED_VALUE"""),33)</f>
        <v>33</v>
      </c>
      <c r="B39" s="21" t="str">
        <f ca="1">IFERROR(__xludf.DUMMYFUNCTION("""COMPUTED_VALUE"""),"গ্রামঃ বড়াইডাঙ্গী কলজে পাড়া, ইউনয়িনঃ রাজবিপুর, উপজলোঃ চর রাজবিপুর, জলোঃ কুড়গ্রিাম")</f>
        <v>গ্রামঃ বড়াইডাঙ্গী কলজে পাড়া, ইউনয়িনঃ রাজবিপুর, উপজলোঃ চর রাজবিপুর, জলোঃ কুড়গ্রিাম</v>
      </c>
      <c r="C3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9" s="21">
        <f ca="1">IFERROR(__xludf.DUMMYFUNCTION("""COMPUTED_VALUE"""),5)</f>
        <v>5</v>
      </c>
      <c r="E39" s="21" t="str">
        <f ca="1">IFERROR(__xludf.DUMMYFUNCTION("""COMPUTED_VALUE"""),"২৫.৪৪৬৬৩-৮৯.৮০১০৫")</f>
        <v>২৫.৪৪৬৬৩-৮৯.৮০১০৫</v>
      </c>
      <c r="F39" s="21" t="str">
        <f ca="1">IFERROR(__xludf.DUMMYFUNCTION("""COMPUTED_VALUE"""),"মোঃ আছমত আলী ০১৯৩৪২৩৮২৩৭")</f>
        <v>মোঃ আছমত আলী ০১৯৩৪২৩৮২৩৭</v>
      </c>
      <c r="G39" s="21" t="str">
        <f ca="1">IFERROR(__xludf.DUMMYFUNCTION("""COMPUTED_VALUE"""),"মোঃ জহুরুল হক, ০১৭৮৫৬৬২৩৩৬")</f>
        <v>মোঃ জহুরুল হক, ০১৭৮৫৬৬২৩৩৬</v>
      </c>
      <c r="H39" s="21" t="str">
        <f ca="1">IFERROR(__xludf.DUMMYFUNCTION("""COMPUTED_VALUE"""),"দিপক দেব নাথ     ১৭৩৮৩৮৫৮১৯")</f>
        <v>দিপক দেব নাথ     ১৭৩৮৩৮৫৮১৯</v>
      </c>
      <c r="I39" s="21"/>
    </row>
    <row r="40" spans="1:9" ht="16.5" customHeight="1" x14ac:dyDescent="0.15">
      <c r="A40" s="25">
        <f ca="1">IFERROR(__xludf.DUMMYFUNCTION("""COMPUTED_VALUE"""),34)</f>
        <v>34</v>
      </c>
      <c r="B40" s="25" t="str">
        <f ca="1">IFERROR(__xludf.DUMMYFUNCTION("""COMPUTED_VALUE"""),"গ্রামঃ শবিরে ডাঙ্গী, ইউনয়িনঃ রাজবিপুর, উপজলোঃ চর রাজবিপুর, জলোঃ কুড়গ্রিাম")</f>
        <v>গ্রামঃ শবিরে ডাঙ্গী, ইউনয়িনঃ রাজবিপুর, উপজলোঃ চর রাজবিপুর, জলোঃ কুড়গ্রিাম</v>
      </c>
      <c r="C4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0" s="25">
        <f ca="1">IFERROR(__xludf.DUMMYFUNCTION("""COMPUTED_VALUE"""),5)</f>
        <v>5</v>
      </c>
      <c r="E40" s="25" t="str">
        <f ca="1">IFERROR(__xludf.DUMMYFUNCTION("""COMPUTED_VALUE"""),"২৫.৪৭৫০২-৮৯.৮১৭২৭")</f>
        <v>২৫.৪৭৫০২-৮৯.৮১৭২৭</v>
      </c>
      <c r="F40" s="25" t="str">
        <f ca="1">IFERROR(__xludf.DUMMYFUNCTION("""COMPUTED_VALUE"""),"মোঃ রুমানুর রহমান ০১৯৩২২১৫৮১৩")</f>
        <v>মোঃ রুমানুর রহমান ০১৯৩২২১৫৮১৩</v>
      </c>
      <c r="G40" s="25" t="str">
        <f ca="1">IFERROR(__xludf.DUMMYFUNCTION("""COMPUTED_VALUE"""),"মোঃ জহুরুল হক, ০১৭৮৫৬৬২৩৩৬")</f>
        <v>মোঃ জহুরুল হক, ০১৭৮৫৬৬২৩৩৬</v>
      </c>
      <c r="H40" s="25" t="str">
        <f ca="1">IFERROR(__xludf.DUMMYFUNCTION("""COMPUTED_VALUE"""),"দিপক দেব নাথ     ১৭৩৮৩৮৫৮১৯")</f>
        <v>দিপক দেব নাথ     ১৭৩৮৩৮৫৮১৯</v>
      </c>
      <c r="I40" s="25"/>
    </row>
    <row r="41" spans="1:9" ht="16.5" customHeight="1" x14ac:dyDescent="0.15">
      <c r="A41" s="21">
        <f ca="1">IFERROR(__xludf.DUMMYFUNCTION("""COMPUTED_VALUE"""),35)</f>
        <v>35</v>
      </c>
      <c r="B41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1" s="21">
        <f ca="1">IFERROR(__xludf.DUMMYFUNCTION("""COMPUTED_VALUE"""),5)</f>
        <v>5</v>
      </c>
      <c r="E41" s="21" t="str">
        <f ca="1">IFERROR(__xludf.DUMMYFUNCTION("""COMPUTED_VALUE"""),"২৫.৪৫১২১-৮৯.৮০৯৭৫")</f>
        <v>২৫.৪৫১২১-৮৯.৮০৯৭৫</v>
      </c>
      <c r="F41" s="21" t="str">
        <f ca="1">IFERROR(__xludf.DUMMYFUNCTION("""COMPUTED_VALUE"""),"মোছাঃ অজুফা খাতুন  ০১৯৫৫১৫৬৭২৩")</f>
        <v>মোছাঃ অজুফা খাতুন  ০১৯৫৫১৫৬৭২৩</v>
      </c>
      <c r="G41" s="21" t="str">
        <f ca="1">IFERROR(__xludf.DUMMYFUNCTION("""COMPUTED_VALUE"""),"মোঃ জহুরুল হক, ০১৭৮৫৬৬২৩৩৬")</f>
        <v>মোঃ জহুরুল হক, ০১৭৮৫৬৬২৩৩৬</v>
      </c>
      <c r="H41" s="21" t="str">
        <f ca="1">IFERROR(__xludf.DUMMYFUNCTION("""COMPUTED_VALUE"""),"দিপক দেব নাথ     ১৭৩৮৩৮৫৮১৯")</f>
        <v>দিপক দেব নাথ     ১৭৩৮৩৮৫৮১৯</v>
      </c>
      <c r="I41" s="21"/>
    </row>
    <row r="42" spans="1:9" ht="16.5" customHeight="1" x14ac:dyDescent="0.15">
      <c r="A42" s="25">
        <f ca="1">IFERROR(__xludf.DUMMYFUNCTION("""COMPUTED_VALUE"""),36)</f>
        <v>36</v>
      </c>
      <c r="B42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2" s="25">
        <f ca="1">IFERROR(__xludf.DUMMYFUNCTION("""COMPUTED_VALUE"""),5)</f>
        <v>5</v>
      </c>
      <c r="E42" s="25" t="str">
        <f ca="1">IFERROR(__xludf.DUMMYFUNCTION("""COMPUTED_VALUE"""),"২৫.৪৫১১৭-৮৯.৮১৩৫৪")</f>
        <v>২৫.৪৫১১৭-৮৯.৮১৩৫৪</v>
      </c>
      <c r="F42" s="25" t="str">
        <f ca="1">IFERROR(__xludf.DUMMYFUNCTION("""COMPUTED_VALUE"""),"মোছাঃ মালকো বগেম ০১৯৩৫৬৩৩৫৩৫")</f>
        <v>মোছাঃ মালকো বগেম ০১৯৩৫৬৩৩৫৩৫</v>
      </c>
      <c r="G42" s="25" t="str">
        <f ca="1">IFERROR(__xludf.DUMMYFUNCTION("""COMPUTED_VALUE"""),"মোঃ জহুরুল হক, ০১৭৮৫৬৬২৩৩৬")</f>
        <v>মোঃ জহুরুল হক, ০১৭৮৫৬৬২৩৩৬</v>
      </c>
      <c r="H42" s="25" t="str">
        <f ca="1">IFERROR(__xludf.DUMMYFUNCTION("""COMPUTED_VALUE"""),"দিপক দেব নাথ     ১৭৩৮৩৮৫৮১৯")</f>
        <v>দিপক দেব নাথ     ১৭৩৮৩৮৫৮১৯</v>
      </c>
      <c r="I42" s="25"/>
    </row>
    <row r="43" spans="1:9" ht="16.5" customHeight="1" x14ac:dyDescent="0.15">
      <c r="A43" s="21">
        <f ca="1">IFERROR(__xludf.DUMMYFUNCTION("""COMPUTED_VALUE"""),37)</f>
        <v>37</v>
      </c>
      <c r="B43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3" s="21">
        <f ca="1">IFERROR(__xludf.DUMMYFUNCTION("""COMPUTED_VALUE"""),5)</f>
        <v>5</v>
      </c>
      <c r="E43" s="21" t="str">
        <f ca="1">IFERROR(__xludf.DUMMYFUNCTION("""COMPUTED_VALUE"""),"২৫.৪৫১৫৬-৮৯.৮১৩৬৬")</f>
        <v>২৫.৪৫১৫৬-৮৯.৮১৩৬৬</v>
      </c>
      <c r="F43" s="21" t="str">
        <f ca="1">IFERROR(__xludf.DUMMYFUNCTION("""COMPUTED_VALUE"""),"মোছাঃ খাদজিা খাতুন ০১৯৩৫৬৩৩৭৬৯")</f>
        <v>মোছাঃ খাদজিা খাতুন ০১৯৩৫৬৩৩৭৬৯</v>
      </c>
      <c r="G43" s="21" t="str">
        <f ca="1">IFERROR(__xludf.DUMMYFUNCTION("""COMPUTED_VALUE"""),"মোঃ জহুরুল হক, ০১৭৮৫৬৬২৩৩৬")</f>
        <v>মোঃ জহুরুল হক, ০১৭৮৫৬৬২৩৩৬</v>
      </c>
      <c r="H43" s="21" t="str">
        <f ca="1">IFERROR(__xludf.DUMMYFUNCTION("""COMPUTED_VALUE"""),"দিপক দেব নাথ     ১৭৩৮৩৮৫৮১৯")</f>
        <v>দিপক দেব নাথ     ১৭৩৮৩৮৫৮১৯</v>
      </c>
      <c r="I43" s="21"/>
    </row>
    <row r="44" spans="1:9" ht="16.5" customHeight="1" x14ac:dyDescent="0.15">
      <c r="A44" s="25">
        <f ca="1">IFERROR(__xludf.DUMMYFUNCTION("""COMPUTED_VALUE"""),38)</f>
        <v>38</v>
      </c>
      <c r="B44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4" s="25">
        <f ca="1">IFERROR(__xludf.DUMMYFUNCTION("""COMPUTED_VALUE"""),5)</f>
        <v>5</v>
      </c>
      <c r="E44" s="25" t="str">
        <f ca="1">IFERROR(__xludf.DUMMYFUNCTION("""COMPUTED_VALUE"""),"২৫.৪৫৩৫৪-৮৯.৮১৫৫১")</f>
        <v>২৫.৪৫৩৫৪-৮৯.৮১৫৫১</v>
      </c>
      <c r="F44" s="25" t="str">
        <f ca="1">IFERROR(__xludf.DUMMYFUNCTION("""COMPUTED_VALUE"""),"মোছাঃ মমতাজ খাতুন ০১৯০৪৯৩৬০০১")</f>
        <v>মোছাঃ মমতাজ খাতুন ০১৯০৪৯৩৬০০১</v>
      </c>
      <c r="G44" s="25" t="str">
        <f ca="1">IFERROR(__xludf.DUMMYFUNCTION("""COMPUTED_VALUE"""),"মোঃ জহুরুল হক, ০১৭৮৫৬৬২৩৩৬")</f>
        <v>মোঃ জহুরুল হক, ০১৭৮৫৬৬২৩৩৬</v>
      </c>
      <c r="H44" s="25" t="str">
        <f ca="1">IFERROR(__xludf.DUMMYFUNCTION("""COMPUTED_VALUE"""),"দিপক দেব নাথ     ১৭৩৮৩৮৫৮১৯")</f>
        <v>দিপক দেব নাথ     ১৭৩৮৩৮৫৮১৯</v>
      </c>
      <c r="I44" s="25"/>
    </row>
    <row r="45" spans="1:9" ht="16.5" customHeight="1" x14ac:dyDescent="0.15">
      <c r="A45" s="21">
        <f ca="1">IFERROR(__xludf.DUMMYFUNCTION("""COMPUTED_VALUE"""),39)</f>
        <v>39</v>
      </c>
      <c r="B45" s="21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4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5" s="21">
        <f ca="1">IFERROR(__xludf.DUMMYFUNCTION("""COMPUTED_VALUE"""),5)</f>
        <v>5</v>
      </c>
      <c r="E45" s="21" t="str">
        <f ca="1">IFERROR(__xludf.DUMMYFUNCTION("""COMPUTED_VALUE"""),"২৫.৪৫৫২৮-৮৯.৮০৭৭৩")</f>
        <v>২৫.৪৫৫২৮-৮৯.৮০৭৭৩</v>
      </c>
      <c r="F45" s="21" t="str">
        <f ca="1">IFERROR(__xludf.DUMMYFUNCTION("""COMPUTED_VALUE"""),"মোঃ মোখলসেুর ০১৯১৭৮৪৪২১৯")</f>
        <v>মোঃ মোখলসেুর ০১৯১৭৮৪৪২১৯</v>
      </c>
      <c r="G45" s="21" t="str">
        <f ca="1">IFERROR(__xludf.DUMMYFUNCTION("""COMPUTED_VALUE"""),"মোঃ জহুরুল হক, ০১৭৮৫৬৬২৩৩৬")</f>
        <v>মোঃ জহুরুল হক, ০১৭৮৫৬৬২৩৩৬</v>
      </c>
      <c r="H45" s="21" t="str">
        <f ca="1">IFERROR(__xludf.DUMMYFUNCTION("""COMPUTED_VALUE"""),"দিপক দেব নাথ     ১৭৩৮৩৮৫৮১৯")</f>
        <v>দিপক দেব নাথ     ১৭৩৮৩৮৫৮১৯</v>
      </c>
      <c r="I45" s="21"/>
    </row>
    <row r="46" spans="1:9" ht="16.5" customHeight="1" x14ac:dyDescent="0.15">
      <c r="A46" s="25">
        <f ca="1">IFERROR(__xludf.DUMMYFUNCTION("""COMPUTED_VALUE"""),40)</f>
        <v>40</v>
      </c>
      <c r="B46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6" s="25">
        <f ca="1">IFERROR(__xludf.DUMMYFUNCTION("""COMPUTED_VALUE"""),5)</f>
        <v>5</v>
      </c>
      <c r="E46" s="25" t="str">
        <f ca="1">IFERROR(__xludf.DUMMYFUNCTION("""COMPUTED_VALUE"""),"২৫.৪৫২১৭-৮৯.৮০৯৬৪")</f>
        <v>২৫.৪৫২১৭-৮৯.৮০৯৬৪</v>
      </c>
      <c r="F46" s="25" t="str">
        <f ca="1">IFERROR(__xludf.DUMMYFUNCTION("""COMPUTED_VALUE"""),"মোছাঃ শ্যামলী খাতুন ০১৯৬৩৯৭৬৩৬৬")</f>
        <v>মোছাঃ শ্যামলী খাতুন ০১৯৬৩৯৭৬৩৬৬</v>
      </c>
      <c r="G46" s="25" t="str">
        <f ca="1">IFERROR(__xludf.DUMMYFUNCTION("""COMPUTED_VALUE"""),"মোঃ জহুরুল হক, ০১৭৮৫৬৬২৩৩৬")</f>
        <v>মোঃ জহুরুল হক, ০১৭৮৫৬৬২৩৩৬</v>
      </c>
      <c r="H46" s="25" t="str">
        <f ca="1">IFERROR(__xludf.DUMMYFUNCTION("""COMPUTED_VALUE"""),"দিপক দেব নাথ     ১৭৩৮৩৮৫৮১৯")</f>
        <v>দিপক দেব নাথ     ১৭৩৮৩৮৫৮১৯</v>
      </c>
      <c r="I46" s="25"/>
    </row>
    <row r="47" spans="1:9" ht="16.5" customHeight="1" x14ac:dyDescent="0.15">
      <c r="A47" s="21">
        <f ca="1">IFERROR(__xludf.DUMMYFUNCTION("""COMPUTED_VALUE"""),41)</f>
        <v>41</v>
      </c>
      <c r="B47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7" s="21">
        <f ca="1">IFERROR(__xludf.DUMMYFUNCTION("""COMPUTED_VALUE"""),5)</f>
        <v>5</v>
      </c>
      <c r="E47" s="21" t="str">
        <f ca="1">IFERROR(__xludf.DUMMYFUNCTION("""COMPUTED_VALUE"""),"২৫.৪৫২৩৮-৮৯.৮০৯২৯")</f>
        <v>২৫.৪৫২৩৮-৮৯.৮০৯২৯</v>
      </c>
      <c r="F47" s="21" t="str">
        <f ca="1">IFERROR(__xludf.DUMMYFUNCTION("""COMPUTED_VALUE"""),"মোছাঃ মনরিা খাতুন ০১৯০৩৪১০১৪২")</f>
        <v>মোছাঃ মনরিা খাতুন ০১৯০৩৪১০১৪২</v>
      </c>
      <c r="G47" s="21" t="str">
        <f ca="1">IFERROR(__xludf.DUMMYFUNCTION("""COMPUTED_VALUE"""),"মোঃ জহুরুল হক, ০১৭৮৫৬৬২৩৩৬")</f>
        <v>মোঃ জহুরুল হক, ০১৭৮৫৬৬২৩৩৬</v>
      </c>
      <c r="H47" s="21" t="str">
        <f ca="1">IFERROR(__xludf.DUMMYFUNCTION("""COMPUTED_VALUE"""),"দিপক দেব নাথ     ১৭৩৮৩৮৫৮১৯")</f>
        <v>দিপক দেব নাথ     ১৭৩৮৩৮৫৮১৯</v>
      </c>
      <c r="I47" s="21"/>
    </row>
    <row r="48" spans="1:9" ht="16.5" customHeight="1" x14ac:dyDescent="0.15">
      <c r="A48" s="25">
        <f ca="1">IFERROR(__xludf.DUMMYFUNCTION("""COMPUTED_VALUE"""),42)</f>
        <v>42</v>
      </c>
      <c r="B48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8" s="25">
        <f ca="1">IFERROR(__xludf.DUMMYFUNCTION("""COMPUTED_VALUE"""),5)</f>
        <v>5</v>
      </c>
      <c r="E48" s="25" t="str">
        <f ca="1">IFERROR(__xludf.DUMMYFUNCTION("""COMPUTED_VALUE"""),"২৫.৪৫০৫৪-৮৯.৮০৯৫")</f>
        <v>২৫.৪৫০৫৪-৮৯.৮০৯৫</v>
      </c>
      <c r="F48" s="25" t="str">
        <f ca="1">IFERROR(__xludf.DUMMYFUNCTION("""COMPUTED_VALUE"""),"মোছাঃ রহমিা খাতুন ০১৭২৫২১৬৮৭৩")</f>
        <v>মোছাঃ রহমিা খাতুন ০১৭২৫২১৬৮৭৩</v>
      </c>
      <c r="G48" s="25" t="str">
        <f ca="1">IFERROR(__xludf.DUMMYFUNCTION("""COMPUTED_VALUE"""),"মোঃ জহুরুল হক, ০১৭৮৫৬৬২৩৩৬")</f>
        <v>মোঃ জহুরুল হক, ০১৭৮৫৬৬২৩৩৬</v>
      </c>
      <c r="H48" s="25" t="str">
        <f ca="1">IFERROR(__xludf.DUMMYFUNCTION("""COMPUTED_VALUE"""),"দিপক দেব নাথ     ১৭৩৮৩৮৫৮১৯")</f>
        <v>দিপক দেব নাথ     ১৭৩৮৩৮৫৮১৯</v>
      </c>
      <c r="I48" s="25"/>
    </row>
    <row r="49" spans="1:9" ht="16.5" customHeight="1" x14ac:dyDescent="0.15">
      <c r="A49" s="21">
        <f ca="1">IFERROR(__xludf.DUMMYFUNCTION("""COMPUTED_VALUE"""),43)</f>
        <v>43</v>
      </c>
      <c r="B49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9" s="21">
        <f ca="1">IFERROR(__xludf.DUMMYFUNCTION("""COMPUTED_VALUE"""),5)</f>
        <v>5</v>
      </c>
      <c r="E49" s="21" t="str">
        <f ca="1">IFERROR(__xludf.DUMMYFUNCTION("""COMPUTED_VALUE"""),"২৫.৪৫০৫৩-৮৯.৮১০২৪")</f>
        <v>২৫.৪৫০৫৩-৮৯.৮১০২৪</v>
      </c>
      <c r="F49" s="21" t="str">
        <f ca="1">IFERROR(__xludf.DUMMYFUNCTION("""COMPUTED_VALUE"""),"মোছাঃ নপিা খাতুন ০১৯৮১৮১৮৫২৫")</f>
        <v>মোছাঃ নপিা খাতুন ০১৯৮১৮১৮৫২৫</v>
      </c>
      <c r="G49" s="21" t="str">
        <f ca="1">IFERROR(__xludf.DUMMYFUNCTION("""COMPUTED_VALUE"""),"মোঃ জহুরুল হক, ০১৭৮৫৬৬২৩৩৬")</f>
        <v>মোঃ জহুরুল হক, ০১৭৮৫৬৬২৩৩৬</v>
      </c>
      <c r="H49" s="21" t="str">
        <f ca="1">IFERROR(__xludf.DUMMYFUNCTION("""COMPUTED_VALUE"""),"দিপক দেব নাথ     ১৭৩৮৩৮৫৮১৯")</f>
        <v>দিপক দেব নাথ     ১৭৩৮৩৮৫৮১৯</v>
      </c>
      <c r="I49" s="21"/>
    </row>
    <row r="50" spans="1:9" ht="16.5" customHeight="1" x14ac:dyDescent="0.15">
      <c r="A50" s="25">
        <f ca="1">IFERROR(__xludf.DUMMYFUNCTION("""COMPUTED_VALUE"""),44)</f>
        <v>44</v>
      </c>
      <c r="B50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5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0" s="25">
        <f ca="1">IFERROR(__xludf.DUMMYFUNCTION("""COMPUTED_VALUE"""),5)</f>
        <v>5</v>
      </c>
      <c r="E50" s="25" t="str">
        <f ca="1">IFERROR(__xludf.DUMMYFUNCTION("""COMPUTED_VALUE"""),"২৫.৪৫০৬৭-৮৯.৮০৯৯৬")</f>
        <v>২৫.৪৫০৬৭-৮৯.৮০৯৯৬</v>
      </c>
      <c r="F50" s="25" t="str">
        <f ca="1">IFERROR(__xludf.DUMMYFUNCTION("""COMPUTED_VALUE"""),"মোছাঃ বগেম খাতুন  ০১৯২২৪৫৫৭১৮")</f>
        <v>মোছাঃ বগেম খাতুন  ০১৯২২৪৫৫৭১৮</v>
      </c>
      <c r="G50" s="25" t="str">
        <f ca="1">IFERROR(__xludf.DUMMYFUNCTION("""COMPUTED_VALUE"""),"মোঃ জহুরুল হক, ০১৭৮৫৬৬২৩৩৬")</f>
        <v>মোঃ জহুরুল হক, ০১৭৮৫৬৬২৩৩৬</v>
      </c>
      <c r="H50" s="25" t="str">
        <f ca="1">IFERROR(__xludf.DUMMYFUNCTION("""COMPUTED_VALUE"""),"দিপক দেব নাথ     ১৭৩৮৩৮৫৮১৯")</f>
        <v>দিপক দেব নাথ     ১৭৩৮৩৮৫৮১৯</v>
      </c>
      <c r="I50" s="25"/>
    </row>
    <row r="51" spans="1:9" ht="16.5" customHeight="1" x14ac:dyDescent="0.15">
      <c r="A51" s="21">
        <f ca="1">IFERROR(__xludf.DUMMYFUNCTION("""COMPUTED_VALUE"""),45)</f>
        <v>45</v>
      </c>
      <c r="B51" s="21" t="str">
        <f ca="1">IFERROR(__xludf.DUMMYFUNCTION("""COMPUTED_VALUE"""),"গ্রামঃ জয়নাল ডিলার পাড়া, ইউনিয়নঃ কোদালকাটি, উপজেলাঃ চর রাজিবপুরঃ জেলাঃ কুড়িগ্রাম।")</f>
        <v>গ্রামঃ জয়নাল ডিলার পাড়া, ইউনিয়নঃ কোদালকাটি, উপজেলাঃ চর রাজিবপুরঃ জেলাঃ কুড়িগ্রাম।</v>
      </c>
      <c r="C5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1" s="21">
        <f ca="1">IFERROR(__xludf.DUMMYFUNCTION("""COMPUTED_VALUE"""),5)</f>
        <v>5</v>
      </c>
      <c r="E51" s="21" t="str">
        <f ca="1">IFERROR(__xludf.DUMMYFUNCTION("""COMPUTED_VALUE"""),"25.50175-89.76284")</f>
        <v>25.50175-89.76284</v>
      </c>
      <c r="F51" s="21" t="str">
        <f ca="1">IFERROR(__xludf.DUMMYFUNCTION("""COMPUTED_VALUE"""),"মোঃ আব্দুল্লাহ ০১৭৯২৭৭০৮২৩")</f>
        <v>মোঃ আব্দুল্লাহ ০১৭৯২৭৭০৮২৩</v>
      </c>
      <c r="G51" s="21" t="str">
        <f ca="1">IFERROR(__xludf.DUMMYFUNCTION("""COMPUTED_VALUE"""),"হাফিজা খাতুন  ১৯৮৩৬২২২৭৫")</f>
        <v>হাফিজা খাতুন  ১৯৮৩৬২২২৭৫</v>
      </c>
      <c r="H51" s="21" t="str">
        <f ca="1">IFERROR(__xludf.DUMMYFUNCTION("""COMPUTED_VALUE"""),"দিপক দেব নাথ     ১৭৩৮৩৮৫৮১৯")</f>
        <v>দিপক দেব নাথ     ১৭৩৮৩৮৫৮১৯</v>
      </c>
      <c r="I51" s="21"/>
    </row>
    <row r="52" spans="1:9" ht="16.5" customHeight="1" x14ac:dyDescent="0.15">
      <c r="A52" s="25">
        <f ca="1">IFERROR(__xludf.DUMMYFUNCTION("""COMPUTED_VALUE"""),46)</f>
        <v>46</v>
      </c>
      <c r="B52" s="25" t="str">
        <f ca="1">IFERROR(__xludf.DUMMYFUNCTION("""COMPUTED_VALUE"""),"গ্রামঃ হাজী পাড়া, ইউনিয়নঃ কোদালকাটি, উপজেলাঃ চর রাজিবপুরঃ জেলাঃ কুড়িগ্রাম।")</f>
        <v>গ্রামঃ হাজী পাড়া, ইউনিয়নঃ কোদালকাটি, উপজেলাঃ চর রাজিবপুরঃ জেলাঃ কুড়িগ্রাম।</v>
      </c>
      <c r="C5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2" s="25">
        <f ca="1">IFERROR(__xludf.DUMMYFUNCTION("""COMPUTED_VALUE"""),5)</f>
        <v>5</v>
      </c>
      <c r="E52" s="25" t="str">
        <f ca="1">IFERROR(__xludf.DUMMYFUNCTION("""COMPUTED_VALUE"""),"25.50164-89.76285")</f>
        <v>25.50164-89.76285</v>
      </c>
      <c r="F52" s="25" t="str">
        <f ca="1">IFERROR(__xludf.DUMMYFUNCTION("""COMPUTED_VALUE"""),"মোঃ রফিকুল ইসলাম ০১৭০৩৩৪২১০৩")</f>
        <v>মোঃ রফিকুল ইসলাম ০১৭০৩৩৪২১০৩</v>
      </c>
      <c r="G52" s="25" t="str">
        <f ca="1">IFERROR(__xludf.DUMMYFUNCTION("""COMPUTED_VALUE"""),"হাফিজা খাতুন  ১৯৮৩৬২২২৭৫")</f>
        <v>হাফিজা খাতুন  ১৯৮৩৬২২২৭৫</v>
      </c>
      <c r="H52" s="25" t="str">
        <f ca="1">IFERROR(__xludf.DUMMYFUNCTION("""COMPUTED_VALUE"""),"দিপক দেব নাথ     ১৭৩৮৩৮৫৮১৯")</f>
        <v>দিপক দেব নাথ     ১৭৩৮৩৮৫৮১৯</v>
      </c>
      <c r="I52" s="25"/>
    </row>
    <row r="53" spans="1:9" ht="16.5" customHeight="1" x14ac:dyDescent="0.15">
      <c r="A53" s="21">
        <f ca="1">IFERROR(__xludf.DUMMYFUNCTION("""COMPUTED_VALUE"""),47)</f>
        <v>47</v>
      </c>
      <c r="B53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3" s="21">
        <f ca="1">IFERROR(__xludf.DUMMYFUNCTION("""COMPUTED_VALUE"""),5)</f>
        <v>5</v>
      </c>
      <c r="E53" s="21" t="str">
        <f ca="1">IFERROR(__xludf.DUMMYFUNCTION("""COMPUTED_VALUE"""),"25.50169-89.763")</f>
        <v>25.50169-89.763</v>
      </c>
      <c r="F53" s="21" t="str">
        <f ca="1">IFERROR(__xludf.DUMMYFUNCTION("""COMPUTED_VALUE"""),"মোঃ আবু সাইদ ০১৬৪৮৭৭৯০৩৬")</f>
        <v>মোঃ আবু সাইদ ০১৬৪৮৭৭৯০৩৬</v>
      </c>
      <c r="G53" s="21" t="str">
        <f ca="1">IFERROR(__xludf.DUMMYFUNCTION("""COMPUTED_VALUE"""),"হাফিজা খাতুন  ১৯৮৩৬২২২৭৫")</f>
        <v>হাফিজা খাতুন  ১৯৮৩৬২২২৭৫</v>
      </c>
      <c r="H53" s="21" t="str">
        <f ca="1">IFERROR(__xludf.DUMMYFUNCTION("""COMPUTED_VALUE"""),"দিপক দেব নাথ     ১৭৩৮৩৮৫৮১৯")</f>
        <v>দিপক দেব নাথ     ১৭৩৮৩৮৫৮১৯</v>
      </c>
      <c r="I53" s="21"/>
    </row>
    <row r="54" spans="1:9" ht="16.5" customHeight="1" x14ac:dyDescent="0.15">
      <c r="A54" s="25">
        <f ca="1">IFERROR(__xludf.DUMMYFUNCTION("""COMPUTED_VALUE"""),48)</f>
        <v>48</v>
      </c>
      <c r="B54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4" s="25">
        <f ca="1">IFERROR(__xludf.DUMMYFUNCTION("""COMPUTED_VALUE"""),5)</f>
        <v>5</v>
      </c>
      <c r="E54" s="25" t="str">
        <f ca="1">IFERROR(__xludf.DUMMYFUNCTION("""COMPUTED_VALUE"""),"25.50172-8976337")</f>
        <v>25.50172-8976337</v>
      </c>
      <c r="F54" s="25" t="str">
        <f ca="1">IFERROR(__xludf.DUMMYFUNCTION("""COMPUTED_VALUE"""),"মোঃ আরিফুল ইসলাম  ০১৭৮৮২৩৬৮১৬")</f>
        <v>মোঃ আরিফুল ইসলাম  ০১৭৮৮২৩৬৮১৬</v>
      </c>
      <c r="G54" s="25" t="str">
        <f ca="1">IFERROR(__xludf.DUMMYFUNCTION("""COMPUTED_VALUE"""),"হাফিজা খাতুন  ১৯৮৩৬২২২৭৫")</f>
        <v>হাফিজা খাতুন  ১৯৮৩৬২২২৭৫</v>
      </c>
      <c r="H54" s="25" t="str">
        <f ca="1">IFERROR(__xludf.DUMMYFUNCTION("""COMPUTED_VALUE"""),"দিপক দেব নাথ     ১৭৩৮৩৮৫৮১৯")</f>
        <v>দিপক দেব নাথ     ১৭৩৮৩৮৫৮১৯</v>
      </c>
      <c r="I54" s="25"/>
    </row>
    <row r="55" spans="1:9" ht="16.5" customHeight="1" x14ac:dyDescent="0.15">
      <c r="A55" s="21">
        <f ca="1">IFERROR(__xludf.DUMMYFUNCTION("""COMPUTED_VALUE"""),49)</f>
        <v>49</v>
      </c>
      <c r="B55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5" s="21">
        <f ca="1">IFERROR(__xludf.DUMMYFUNCTION("""COMPUTED_VALUE"""),5)</f>
        <v>5</v>
      </c>
      <c r="E55" s="21" t="str">
        <f ca="1">IFERROR(__xludf.DUMMYFUNCTION("""COMPUTED_VALUE"""),"25.50195-89.76439")</f>
        <v>25.50195-89.76439</v>
      </c>
      <c r="F55" s="21" t="str">
        <f ca="1">IFERROR(__xludf.DUMMYFUNCTION("""COMPUTED_VALUE"""),"মোঃ নুর হোসেন  ০১৯৭১৭৪৫৭৫৭")</f>
        <v>মোঃ নুর হোসেন  ০১৯৭১৭৪৫৭৫৭</v>
      </c>
      <c r="G55" s="21" t="str">
        <f ca="1">IFERROR(__xludf.DUMMYFUNCTION("""COMPUTED_VALUE"""),"হাফিজা খাতুন  ১৯৮৩৬২২২৭৫")</f>
        <v>হাফিজা খাতুন  ১৯৮৩৬২২২৭৫</v>
      </c>
      <c r="H55" s="21" t="str">
        <f ca="1">IFERROR(__xludf.DUMMYFUNCTION("""COMPUTED_VALUE"""),"দিপক দেব নাথ     ১৭৩৮৩৮৫৮১৯")</f>
        <v>দিপক দেব নাথ     ১৭৩৮৩৮৫৮১৯</v>
      </c>
      <c r="I55" s="21"/>
    </row>
    <row r="56" spans="1:9" ht="16.5" customHeight="1" x14ac:dyDescent="0.15">
      <c r="A56" s="25">
        <f ca="1">IFERROR(__xludf.DUMMYFUNCTION("""COMPUTED_VALUE"""),50)</f>
        <v>50</v>
      </c>
      <c r="B56" s="25" t="str">
        <f ca="1">IFERROR(__xludf.DUMMYFUNCTION("""COMPUTED_VALUE"""),"গ্রামঃ জয়নাল ডিলার পাড়া, ইউনিয়নঃ কোদালকাটি, উপজেলাঃ চর রাজিবপুরঃ জেলাঃ কুড়িগ্রাম।")</f>
        <v>গ্রামঃ জয়নাল ডিলার পাড়া, ইউনিয়নঃ কোদালকাটি, উপজেলাঃ চর রাজিবপুরঃ জেলাঃ কুড়িগ্রাম।</v>
      </c>
      <c r="C5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6" s="25">
        <f ca="1">IFERROR(__xludf.DUMMYFUNCTION("""COMPUTED_VALUE"""),5)</f>
        <v>5</v>
      </c>
      <c r="E56" s="25" t="str">
        <f ca="1">IFERROR(__xludf.DUMMYFUNCTION("""COMPUTED_VALUE"""),"25.50191-89.76519")</f>
        <v>25.50191-89.76519</v>
      </c>
      <c r="F56" s="25" t="str">
        <f ca="1">IFERROR(__xludf.DUMMYFUNCTION("""COMPUTED_VALUE"""),"মোঃ ডাইভার হোসেন  ০১৬২৪২৭৮৪১২")</f>
        <v>মোঃ ডাইভার হোসেন  ০১৬২৪২৭৮৪১২</v>
      </c>
      <c r="G56" s="25" t="str">
        <f ca="1">IFERROR(__xludf.DUMMYFUNCTION("""COMPUTED_VALUE"""),"হাফিজা খাতুন  ১৯৮৩৬২২২৭৫")</f>
        <v>হাফিজা খাতুন  ১৯৮৩৬২২২৭৫</v>
      </c>
      <c r="H56" s="25" t="str">
        <f ca="1">IFERROR(__xludf.DUMMYFUNCTION("""COMPUTED_VALUE"""),"দিপক দেব নাথ     ১৭৩৮৩৮৫৮১৯")</f>
        <v>দিপক দেব নাথ     ১৭৩৮৩৮৫৮১৯</v>
      </c>
      <c r="I56" s="25"/>
    </row>
    <row r="57" spans="1:9" ht="16.5" customHeight="1" x14ac:dyDescent="0.15">
      <c r="A57" s="21">
        <f ca="1">IFERROR(__xludf.DUMMYFUNCTION("""COMPUTED_VALUE"""),51)</f>
        <v>51</v>
      </c>
      <c r="B57" s="21" t="str">
        <f ca="1">IFERROR(__xludf.DUMMYFUNCTION("""COMPUTED_VALUE"""),"গ্রামঃ হাজী পাড়া, ইউনিয়নঃ কোদালকাটি, উপজেলাঃ চর রাজিবপুরঃ জেলাঃ কুড়িগ্রাম।")</f>
        <v>গ্রামঃ হাজী পাড়া, ইউনিয়নঃ কোদালকাটি, উপজেলাঃ চর রাজিবপুরঃ জেলাঃ কুড়িগ্রাম।</v>
      </c>
      <c r="C5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7" s="21">
        <f ca="1">IFERROR(__xludf.DUMMYFUNCTION("""COMPUTED_VALUE"""),5)</f>
        <v>5</v>
      </c>
      <c r="E57" s="21" t="str">
        <f ca="1">IFERROR(__xludf.DUMMYFUNCTION("""COMPUTED_VALUE"""),"25.50213-89.76598")</f>
        <v>25.50213-89.76598</v>
      </c>
      <c r="F57" s="21" t="str">
        <f ca="1">IFERROR(__xludf.DUMMYFUNCTION("""COMPUTED_VALUE"""),"মোঃ মানিক মিয়া  ০১৩২০৫৪৫৮০৪")</f>
        <v>মোঃ মানিক মিয়া  ০১৩২০৫৪৫৮০৪</v>
      </c>
      <c r="G57" s="21" t="str">
        <f ca="1">IFERROR(__xludf.DUMMYFUNCTION("""COMPUTED_VALUE"""),"হাফিজা খাতুন  ১৯৮৩৬২২২৭৫")</f>
        <v>হাফিজা খাতুন  ১৯৮৩৬২২২৭৫</v>
      </c>
      <c r="H57" s="21" t="str">
        <f ca="1">IFERROR(__xludf.DUMMYFUNCTION("""COMPUTED_VALUE"""),"দিপক দেব নাথ     ১৭৩৮৩৮৫৮১৯")</f>
        <v>দিপক দেব নাথ     ১৭৩৮৩৮৫৮১৯</v>
      </c>
      <c r="I57" s="21"/>
    </row>
    <row r="58" spans="1:9" ht="16.5" customHeight="1" x14ac:dyDescent="0.15">
      <c r="A58" s="25">
        <f ca="1">IFERROR(__xludf.DUMMYFUNCTION("""COMPUTED_VALUE"""),52)</f>
        <v>52</v>
      </c>
      <c r="B58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8" s="25">
        <f ca="1">IFERROR(__xludf.DUMMYFUNCTION("""COMPUTED_VALUE"""),5)</f>
        <v>5</v>
      </c>
      <c r="E58" s="25" t="str">
        <f ca="1">IFERROR(__xludf.DUMMYFUNCTION("""COMPUTED_VALUE"""),"25.50236-89.76604")</f>
        <v>25.50236-89.76604</v>
      </c>
      <c r="F58" s="25" t="str">
        <f ca="1">IFERROR(__xludf.DUMMYFUNCTION("""COMPUTED_VALUE"""),"মোছাঃ রমেছা খাতুন  ০১৪০৬৬৭৬১৬৫")</f>
        <v>মোছাঃ রমেছা খাতুন  ০১৪০৬৬৭৬১৬৫</v>
      </c>
      <c r="G58" s="25" t="str">
        <f ca="1">IFERROR(__xludf.DUMMYFUNCTION("""COMPUTED_VALUE"""),"হাফিজা খাতুন  ১৯৮৩৬২২২৭৫")</f>
        <v>হাফিজা খাতুন  ১৯৮৩৬২২২৭৫</v>
      </c>
      <c r="H58" s="25" t="str">
        <f ca="1">IFERROR(__xludf.DUMMYFUNCTION("""COMPUTED_VALUE"""),"দিপক দেব নাথ     ১৭৩৮৩৮৫৮১৯")</f>
        <v>দিপক দেব নাথ     ১৭৩৮৩৮৫৮১৯</v>
      </c>
      <c r="I58" s="25"/>
    </row>
    <row r="59" spans="1:9" ht="16.5" customHeight="1" x14ac:dyDescent="0.15">
      <c r="A59" s="21">
        <f ca="1">IFERROR(__xludf.DUMMYFUNCTION("""COMPUTED_VALUE"""),53)</f>
        <v>53</v>
      </c>
      <c r="B59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9" s="21">
        <f ca="1">IFERROR(__xludf.DUMMYFUNCTION("""COMPUTED_VALUE"""),5)</f>
        <v>5</v>
      </c>
      <c r="E59" s="21" t="str">
        <f ca="1">IFERROR(__xludf.DUMMYFUNCTION("""COMPUTED_VALUE"""),"25.502276-89.76636")</f>
        <v>25.502276-89.76636</v>
      </c>
      <c r="F59" s="21" t="str">
        <f ca="1">IFERROR(__xludf.DUMMYFUNCTION("""COMPUTED_VALUE"""),"মোঃ শাহ আলম  ০১৭৪১৭৩২৬৭৩")</f>
        <v>মোঃ শাহ আলম  ০১৭৪১৭৩২৬৭৩</v>
      </c>
      <c r="G59" s="21" t="str">
        <f ca="1">IFERROR(__xludf.DUMMYFUNCTION("""COMPUTED_VALUE"""),"হাফিজা খাতুন  ১৯৮৩৬২২২৭৫")</f>
        <v>হাফিজা খাতুন  ১৯৮৩৬২২২৭৫</v>
      </c>
      <c r="H59" s="21" t="str">
        <f ca="1">IFERROR(__xludf.DUMMYFUNCTION("""COMPUTED_VALUE"""),"দিপক দেব নাথ     ১৭৩৮৩৮৫৮১৯")</f>
        <v>দিপক দেব নাথ     ১৭৩৮৩৮৫৮১৯</v>
      </c>
      <c r="I59" s="21"/>
    </row>
    <row r="60" spans="1:9" ht="16.5" customHeight="1" x14ac:dyDescent="0.15">
      <c r="A60" s="25">
        <f ca="1">IFERROR(__xludf.DUMMYFUNCTION("""COMPUTED_VALUE"""),54)</f>
        <v>54</v>
      </c>
      <c r="B60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0" s="25">
        <f ca="1">IFERROR(__xludf.DUMMYFUNCTION("""COMPUTED_VALUE"""),5)</f>
        <v>5</v>
      </c>
      <c r="E60" s="25" t="str">
        <f ca="1">IFERROR(__xludf.DUMMYFUNCTION("""COMPUTED_VALUE"""),"25.50222-89.76642")</f>
        <v>25.50222-89.76642</v>
      </c>
      <c r="F60" s="25" t="str">
        <f ca="1">IFERROR(__xludf.DUMMYFUNCTION("""COMPUTED_VALUE"""),"মোঃ ফরিজল হক  ০১৯০৭৯২৩৩৪১")</f>
        <v>মোঃ ফরিজল হক  ০১৯০৭৯২৩৩৪১</v>
      </c>
      <c r="G60" s="25" t="str">
        <f ca="1">IFERROR(__xludf.DUMMYFUNCTION("""COMPUTED_VALUE"""),"হাফিজা খাতুন  ১৯৮৩৬২২২৭৫")</f>
        <v>হাফিজা খাতুন  ১৯৮৩৬২২২৭৫</v>
      </c>
      <c r="H60" s="25" t="str">
        <f ca="1">IFERROR(__xludf.DUMMYFUNCTION("""COMPUTED_VALUE"""),"দিপক দেব নাথ     ১৭৩৮৩৮৫৮১৯")</f>
        <v>দিপক দেব নাথ     ১৭৩৮৩৮৫৮১৯</v>
      </c>
      <c r="I60" s="25"/>
    </row>
    <row r="61" spans="1:9" ht="16.5" customHeight="1" x14ac:dyDescent="0.15">
      <c r="A61" s="21">
        <f ca="1">IFERROR(__xludf.DUMMYFUNCTION("""COMPUTED_VALUE"""),55)</f>
        <v>55</v>
      </c>
      <c r="B61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1" s="21">
        <f ca="1">IFERROR(__xludf.DUMMYFUNCTION("""COMPUTED_VALUE"""),5)</f>
        <v>5</v>
      </c>
      <c r="E61" s="21" t="str">
        <f ca="1">IFERROR(__xludf.DUMMYFUNCTION("""COMPUTED_VALUE"""),"25.49762-89.76781")</f>
        <v>25.49762-89.76781</v>
      </c>
      <c r="F61" s="21" t="str">
        <f ca="1">IFERROR(__xludf.DUMMYFUNCTION("""COMPUTED_VALUE"""),"মোঃ আবুল কালাম আজাদ ০১৮২১২২৮২৫৩")</f>
        <v>মোঃ আবুল কালাম আজাদ ০১৮২১২২৮২৫৩</v>
      </c>
      <c r="G61" s="21" t="str">
        <f ca="1">IFERROR(__xludf.DUMMYFUNCTION("""COMPUTED_VALUE"""),"হাফিজা খাতুন  ১৯৮৩৬২২২৭৫")</f>
        <v>হাফিজা খাতুন  ১৯৮৩৬২২২৭৫</v>
      </c>
      <c r="H61" s="21" t="str">
        <f ca="1">IFERROR(__xludf.DUMMYFUNCTION("""COMPUTED_VALUE"""),"দিপক দেব নাথ     ১৭৩৮৩৮৫৮১৯")</f>
        <v>দিপক দেব নাথ     ১৭৩৮৩৮৫৮১৯</v>
      </c>
      <c r="I61" s="21"/>
    </row>
    <row r="62" spans="1:9" ht="16.5" customHeight="1" x14ac:dyDescent="0.15">
      <c r="A62" s="25">
        <f ca="1">IFERROR(__xludf.DUMMYFUNCTION("""COMPUTED_VALUE"""),56)</f>
        <v>56</v>
      </c>
      <c r="B62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2" s="25">
        <f ca="1">IFERROR(__xludf.DUMMYFUNCTION("""COMPUTED_VALUE"""),5)</f>
        <v>5</v>
      </c>
      <c r="E62" s="25" t="str">
        <f ca="1">IFERROR(__xludf.DUMMYFUNCTION("""COMPUTED_VALUE"""),"254743-89.7678")</f>
        <v>254743-89.7678</v>
      </c>
      <c r="F62" s="25" t="str">
        <f ca="1">IFERROR(__xludf.DUMMYFUNCTION("""COMPUTED_VALUE"""),"মোঃ মমিনুল ইসলাম ০১৯৫৩৪২৭৩৭৭")</f>
        <v>মোঃ মমিনুল ইসলাম ০১৯৫৩৪২৭৩৭৭</v>
      </c>
      <c r="G62" s="25" t="str">
        <f ca="1">IFERROR(__xludf.DUMMYFUNCTION("""COMPUTED_VALUE"""),"হাফিজা খাতুন  ১৯৮৩৬২২২৭৫")</f>
        <v>হাফিজা খাতুন  ১৯৮৩৬২২২৭৫</v>
      </c>
      <c r="H62" s="25" t="str">
        <f ca="1">IFERROR(__xludf.DUMMYFUNCTION("""COMPUTED_VALUE"""),"দিপক দেব নাথ     ১৭৩৮৩৮৫৮১৯")</f>
        <v>দিপক দেব নাথ     ১৭৩৮৩৮৫৮১৯</v>
      </c>
      <c r="I62" s="25"/>
    </row>
    <row r="63" spans="1:9" ht="16.5" customHeight="1" x14ac:dyDescent="0.15">
      <c r="A63" s="21">
        <f ca="1">IFERROR(__xludf.DUMMYFUNCTION("""COMPUTED_VALUE"""),57)</f>
        <v>57</v>
      </c>
      <c r="B63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3" s="21">
        <f ca="1">IFERROR(__xludf.DUMMYFUNCTION("""COMPUTED_VALUE"""),5)</f>
        <v>5</v>
      </c>
      <c r="E63" s="21" t="str">
        <f ca="1">IFERROR(__xludf.DUMMYFUNCTION("""COMPUTED_VALUE"""),"25.49552-89.76726")</f>
        <v>25.49552-89.76726</v>
      </c>
      <c r="F63" s="21" t="str">
        <f ca="1">IFERROR(__xludf.DUMMYFUNCTION("""COMPUTED_VALUE"""),"মোঃ নুরুল হক  ০১৬৪৮৭৭৯০৩৬")</f>
        <v>মোঃ নুরুল হক  ০১৬৪৮৭৭৯০৩৬</v>
      </c>
      <c r="G63" s="21" t="str">
        <f ca="1">IFERROR(__xludf.DUMMYFUNCTION("""COMPUTED_VALUE"""),"হাফিজা খাতুন  ১৯৮৩৬২২২৭৫")</f>
        <v>হাফিজা খাতুন  ১৯৮৩৬২২২৭৫</v>
      </c>
      <c r="H63" s="21" t="str">
        <f ca="1">IFERROR(__xludf.DUMMYFUNCTION("""COMPUTED_VALUE"""),"দিপক দেব নাথ     ১৭৩৮৩৮৫৮১৯")</f>
        <v>দিপক দেব নাথ     ১৭৩৮৩৮৫৮১৯</v>
      </c>
      <c r="I63" s="21"/>
    </row>
    <row r="64" spans="1:9" ht="16.5" customHeight="1" x14ac:dyDescent="0.15">
      <c r="A64" s="25">
        <f ca="1">IFERROR(__xludf.DUMMYFUNCTION("""COMPUTED_VALUE"""),58)</f>
        <v>58</v>
      </c>
      <c r="B64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4" s="25">
        <f ca="1">IFERROR(__xludf.DUMMYFUNCTION("""COMPUTED_VALUE"""),5)</f>
        <v>5</v>
      </c>
      <c r="E64" s="25" t="str">
        <f ca="1">IFERROR(__xludf.DUMMYFUNCTION("""COMPUTED_VALUE"""),"25.50257-89.76734")</f>
        <v>25.50257-89.76734</v>
      </c>
      <c r="F64" s="25" t="str">
        <f ca="1">IFERROR(__xludf.DUMMYFUNCTION("""COMPUTED_VALUE"""),"মোছাঃ মৌসুমী খাতুন  ০১৮৫৪৫৪৮৪৯৪")</f>
        <v>মোছাঃ মৌসুমী খাতুন  ০১৮৫৪৫৪৮৪৯৪</v>
      </c>
      <c r="G64" s="25" t="str">
        <f ca="1">IFERROR(__xludf.DUMMYFUNCTION("""COMPUTED_VALUE"""),"হাফিজা খাতুন  ১৯৮৩৬২২২৭৫")</f>
        <v>হাফিজা খাতুন  ১৯৮৩৬২২২৭৫</v>
      </c>
      <c r="H64" s="25" t="str">
        <f ca="1">IFERROR(__xludf.DUMMYFUNCTION("""COMPUTED_VALUE"""),"দিপক দেব নাথ     ১৭৩৮৩৮৫৮১৯")</f>
        <v>দিপক দেব নাথ     ১৭৩৮৩৮৫৮১৯</v>
      </c>
      <c r="I64" s="25"/>
    </row>
    <row r="65" spans="1:9" ht="16.5" customHeight="1" x14ac:dyDescent="0.15">
      <c r="A65" s="21">
        <f ca="1">IFERROR(__xludf.DUMMYFUNCTION("""COMPUTED_VALUE"""),59)</f>
        <v>59</v>
      </c>
      <c r="B65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5" s="21">
        <f ca="1">IFERROR(__xludf.DUMMYFUNCTION("""COMPUTED_VALUE"""),5)</f>
        <v>5</v>
      </c>
      <c r="E65" s="21" t="str">
        <f ca="1">IFERROR(__xludf.DUMMYFUNCTION("""COMPUTED_VALUE"""),"25.50335-89.768669")</f>
        <v>25.50335-89.768669</v>
      </c>
      <c r="F65" s="21" t="str">
        <f ca="1">IFERROR(__xludf.DUMMYFUNCTION("""COMPUTED_VALUE"""),"মোঃ সাইদুর রহমান ০১৭৫২০৫৪১৮২")</f>
        <v>মোঃ সাইদুর রহমান ০১৭৫২০৫৪১৮২</v>
      </c>
      <c r="G65" s="21" t="str">
        <f ca="1">IFERROR(__xludf.DUMMYFUNCTION("""COMPUTED_VALUE"""),"হাফিজা খাতুন  ১৯৮৩৬২২২৭৫")</f>
        <v>হাফিজা খাতুন  ১৯৮৩৬২২২৭৫</v>
      </c>
      <c r="H65" s="21" t="str">
        <f ca="1">IFERROR(__xludf.DUMMYFUNCTION("""COMPUTED_VALUE"""),"দিপক দেব নাথ     ১৭৩৮৩৮৫৮১৯")</f>
        <v>দিপক দেব নাথ     ১৭৩৮৩৮৫৮১৯</v>
      </c>
      <c r="I65" s="21"/>
    </row>
    <row r="66" spans="1:9" ht="16.5" customHeight="1" x14ac:dyDescent="0.15">
      <c r="A66" s="25">
        <f ca="1">IFERROR(__xludf.DUMMYFUNCTION("""COMPUTED_VALUE"""),60)</f>
        <v>60</v>
      </c>
      <c r="B66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6" s="25">
        <f ca="1">IFERROR(__xludf.DUMMYFUNCTION("""COMPUTED_VALUE"""),5)</f>
        <v>5</v>
      </c>
      <c r="E66" s="25" t="str">
        <f ca="1">IFERROR(__xludf.DUMMYFUNCTION("""COMPUTED_VALUE"""),"25.49771-89.76855")</f>
        <v>25.49771-89.76855</v>
      </c>
      <c r="F66" s="25" t="str">
        <f ca="1">IFERROR(__xludf.DUMMYFUNCTION("""COMPUTED_VALUE"""),"মোঃ মমিনুল হক  ০১৯৫৩৪২৭৩৭৭")</f>
        <v>মোঃ মমিনুল হক  ০১৯৫৩৪২৭৩৭৭</v>
      </c>
      <c r="G66" s="25" t="str">
        <f ca="1">IFERROR(__xludf.DUMMYFUNCTION("""COMPUTED_VALUE"""),"হাফিজা খাতুন  ১৯৮৩৬২২২৭৫")</f>
        <v>হাফিজা খাতুন  ১৯৮৩৬২২২৭৫</v>
      </c>
      <c r="H66" s="25" t="str">
        <f ca="1">IFERROR(__xludf.DUMMYFUNCTION("""COMPUTED_VALUE"""),"দিপক দেব নাথ     ১৭৩৮৩৮৫৮১৯")</f>
        <v>দিপক দেব নাথ     ১৭৩৮৩৮৫৮১৯</v>
      </c>
      <c r="I66" s="25"/>
    </row>
    <row r="67" spans="1:9" ht="16.5" customHeight="1" x14ac:dyDescent="0.15">
      <c r="A67" s="21">
        <f ca="1">IFERROR(__xludf.DUMMYFUNCTION("""COMPUTED_VALUE"""),61)</f>
        <v>61</v>
      </c>
      <c r="B67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7" s="21">
        <f ca="1">IFERROR(__xludf.DUMMYFUNCTION("""COMPUTED_VALUE"""),5)</f>
        <v>5</v>
      </c>
      <c r="E67" s="21" t="str">
        <f ca="1">IFERROR(__xludf.DUMMYFUNCTION("""COMPUTED_VALUE"""),"25.49786-89.76835")</f>
        <v>25.49786-89.76835</v>
      </c>
      <c r="F67" s="21" t="str">
        <f ca="1">IFERROR(__xludf.DUMMYFUNCTION("""COMPUTED_VALUE"""),"মোঃ খলিল ০১৯৬৫৮৬৭৪৬৭")</f>
        <v>মোঃ খলিল ০১৯৬৫৮৬৭৪৬৭</v>
      </c>
      <c r="G67" s="21" t="str">
        <f ca="1">IFERROR(__xludf.DUMMYFUNCTION("""COMPUTED_VALUE"""),"হাফিজা খাতুন  ১৯৮৩৬২২২৭৫")</f>
        <v>হাফিজা খাতুন  ১৯৮৩৬২২২৭৫</v>
      </c>
      <c r="H67" s="21" t="str">
        <f ca="1">IFERROR(__xludf.DUMMYFUNCTION("""COMPUTED_VALUE"""),"দিপক দেব নাথ     ১৭৩৮৩৮৫৮১৯")</f>
        <v>দিপক দেব নাথ     ১৭৩৮৩৮৫৮১৯</v>
      </c>
      <c r="I67" s="21"/>
    </row>
    <row r="68" spans="1:9" ht="16.5" customHeight="1" x14ac:dyDescent="0.15">
      <c r="A68" s="25">
        <f ca="1">IFERROR(__xludf.DUMMYFUNCTION("""COMPUTED_VALUE"""),62)</f>
        <v>62</v>
      </c>
      <c r="B68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8" s="25">
        <f ca="1">IFERROR(__xludf.DUMMYFUNCTION("""COMPUTED_VALUE"""),5)</f>
        <v>5</v>
      </c>
      <c r="E68" s="25" t="str">
        <f ca="1">IFERROR(__xludf.DUMMYFUNCTION("""COMPUTED_VALUE"""),"25.49765-89.76818")</f>
        <v>25.49765-89.76818</v>
      </c>
      <c r="F68" s="25" t="str">
        <f ca="1">IFERROR(__xludf.DUMMYFUNCTION("""COMPUTED_VALUE"""),"মোঃ আঃ মান্নান  ০১৮২৮০৫৮৮০১")</f>
        <v>মোঃ আঃ মান্নান  ০১৮২৮০৫৮৮০১</v>
      </c>
      <c r="G68" s="25" t="str">
        <f ca="1">IFERROR(__xludf.DUMMYFUNCTION("""COMPUTED_VALUE"""),"হাফিজা খাতুন  ১৯৮৩৬২২২৭৫")</f>
        <v>হাফিজা খাতুন  ১৯৮৩৬২২২৭৫</v>
      </c>
      <c r="H68" s="25" t="str">
        <f ca="1">IFERROR(__xludf.DUMMYFUNCTION("""COMPUTED_VALUE"""),"দিপক দেব নাথ     ১৭৩৮৩৮৫৮১৯")</f>
        <v>দিপক দেব নাথ     ১৭৩৮৩৮৫৮১৯</v>
      </c>
      <c r="I68" s="25"/>
    </row>
    <row r="69" spans="1:9" ht="16.5" customHeight="1" x14ac:dyDescent="0.15">
      <c r="A69" s="21">
        <f ca="1">IFERROR(__xludf.DUMMYFUNCTION("""COMPUTED_VALUE"""),63)</f>
        <v>63</v>
      </c>
      <c r="B69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9" s="21">
        <f ca="1">IFERROR(__xludf.DUMMYFUNCTION("""COMPUTED_VALUE"""),5)</f>
        <v>5</v>
      </c>
      <c r="E69" s="21" t="str">
        <f ca="1">IFERROR(__xludf.DUMMYFUNCTION("""COMPUTED_VALUE"""),"25.50258-89.76701")</f>
        <v>25.50258-89.76701</v>
      </c>
      <c r="F69" s="21" t="str">
        <f ca="1">IFERROR(__xludf.DUMMYFUNCTION("""COMPUTED_VALUE"""),"মোঃ মেহেদুল ইসলাম ০১৭৫২০৫৪১৮২")</f>
        <v>মোঃ মেহেদুল ইসলাম ০১৭৫২০৫৪১৮২</v>
      </c>
      <c r="G69" s="21" t="str">
        <f ca="1">IFERROR(__xludf.DUMMYFUNCTION("""COMPUTED_VALUE"""),"হাফিজা খাতুন  ১৯৮৩৬২২২৭৫")</f>
        <v>হাফিজা খাতুন  ১৯৮৩৬২২২৭৫</v>
      </c>
      <c r="H69" s="21" t="str">
        <f ca="1">IFERROR(__xludf.DUMMYFUNCTION("""COMPUTED_VALUE"""),"দিপক দেব নাথ     ১৭৩৮৩৮৫৮১৯")</f>
        <v>দিপক দেব নাথ     ১৭৩৮৩৮৫৮১৯</v>
      </c>
      <c r="I69" s="21"/>
    </row>
    <row r="70" spans="1:9" ht="16.5" customHeight="1" x14ac:dyDescent="0.15">
      <c r="A70" s="25">
        <f ca="1">IFERROR(__xludf.DUMMYFUNCTION("""COMPUTED_VALUE"""),64)</f>
        <v>64</v>
      </c>
      <c r="B70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7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0" s="25">
        <f ca="1">IFERROR(__xludf.DUMMYFUNCTION("""COMPUTED_VALUE"""),5)</f>
        <v>5</v>
      </c>
      <c r="E70" s="25" t="str">
        <f ca="1">IFERROR(__xludf.DUMMYFUNCTION("""COMPUTED_VALUE"""),"25.49765-89.76809")</f>
        <v>25.49765-89.76809</v>
      </c>
      <c r="F70" s="25" t="str">
        <f ca="1">IFERROR(__xludf.DUMMYFUNCTION("""COMPUTED_VALUE"""),"মোঃ রাশেদুল ইসলাম ০১৯৭৮০৫২২৭৯")</f>
        <v>মোঃ রাশেদুল ইসলাম ০১৯৭৮০৫২২৭৯</v>
      </c>
      <c r="G70" s="25" t="str">
        <f ca="1">IFERROR(__xludf.DUMMYFUNCTION("""COMPUTED_VALUE"""),"হাফিজা খাতুন  ১৯৮৩৬২২২৭৫")</f>
        <v>হাফিজা খাতুন  ১৯৮৩৬২২২৭৫</v>
      </c>
      <c r="H70" s="25" t="str">
        <f ca="1">IFERROR(__xludf.DUMMYFUNCTION("""COMPUTED_VALUE"""),"দিপক দেব নাথ     ১৭৩৮৩৮৫৮১৯")</f>
        <v>দিপক দেব নাথ     ১৭৩৮৩৮৫৮১৯</v>
      </c>
      <c r="I70" s="25"/>
    </row>
    <row r="71" spans="1:9" ht="16.5" customHeight="1" x14ac:dyDescent="0.15">
      <c r="A71" s="21">
        <f ca="1">IFERROR(__xludf.DUMMYFUNCTION("""COMPUTED_VALUE"""),65)</f>
        <v>65</v>
      </c>
      <c r="B71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1" s="21">
        <f ca="1">IFERROR(__xludf.DUMMYFUNCTION("""COMPUTED_VALUE"""),5)</f>
        <v>5</v>
      </c>
      <c r="E71" s="21" t="str">
        <f ca="1">IFERROR(__xludf.DUMMYFUNCTION("""COMPUTED_VALUE"""),"25.4531-89.82571")</f>
        <v>25.4531-89.82571</v>
      </c>
      <c r="F71" s="21" t="str">
        <f ca="1">IFERROR(__xludf.DUMMYFUNCTION("""COMPUTED_VALUE"""),"মোঃ আবু বক্কও  ০১৭৩০২১৩৮৮৬")</f>
        <v>মোঃ আবু বক্কও  ০১৭৩০২১৩৮৮৬</v>
      </c>
      <c r="G7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1" s="21" t="str">
        <f ca="1">IFERROR(__xludf.DUMMYFUNCTION("""COMPUTED_VALUE"""),"দিপক দেব নাথ     ১৭৩৮৩৮৫৮১৯")</f>
        <v>দিপক দেব নাথ     ১৭৩৮৩৮৫৮১৯</v>
      </c>
      <c r="I71" s="21"/>
    </row>
    <row r="72" spans="1:9" ht="16.5" customHeight="1" x14ac:dyDescent="0.15">
      <c r="A72" s="25">
        <f ca="1">IFERROR(__xludf.DUMMYFUNCTION("""COMPUTED_VALUE"""),66)</f>
        <v>66</v>
      </c>
      <c r="B72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2" s="25">
        <f ca="1">IFERROR(__xludf.DUMMYFUNCTION("""COMPUTED_VALUE"""),5)</f>
        <v>5</v>
      </c>
      <c r="E72" s="25" t="str">
        <f ca="1">IFERROR(__xludf.DUMMYFUNCTION("""COMPUTED_VALUE"""),"25.45354-89.82546")</f>
        <v>25.45354-89.82546</v>
      </c>
      <c r="F72" s="25" t="str">
        <f ca="1">IFERROR(__xludf.DUMMYFUNCTION("""COMPUTED_VALUE"""),"মোঃ তৌকির আহমেদ ০১৯৬৬৩৪৯১৬২")</f>
        <v>মোঃ তৌকির আহমেদ ০১৯৬৬৩৪৯১৬২</v>
      </c>
      <c r="G7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2" s="25" t="str">
        <f ca="1">IFERROR(__xludf.DUMMYFUNCTION("""COMPUTED_VALUE"""),"দিপক দেব নাথ     ১৭৩৮৩৮৫৮১৯")</f>
        <v>দিপক দেব নাথ     ১৭৩৮৩৮৫৮১৯</v>
      </c>
      <c r="I72" s="25"/>
    </row>
    <row r="73" spans="1:9" ht="16.5" customHeight="1" x14ac:dyDescent="0.15">
      <c r="A73" s="21">
        <f ca="1">IFERROR(__xludf.DUMMYFUNCTION("""COMPUTED_VALUE"""),67)</f>
        <v>67</v>
      </c>
      <c r="B73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3" s="21">
        <f ca="1">IFERROR(__xludf.DUMMYFUNCTION("""COMPUTED_VALUE"""),5)</f>
        <v>5</v>
      </c>
      <c r="E73" s="21" t="str">
        <f ca="1">IFERROR(__xludf.DUMMYFUNCTION("""COMPUTED_VALUE"""),"25.45334-89.82611")</f>
        <v>25.45334-89.82611</v>
      </c>
      <c r="F73" s="21" t="str">
        <f ca="1">IFERROR(__xludf.DUMMYFUNCTION("""COMPUTED_VALUE"""),"মোছাঃ আফরোজা খাতুন ০১৬১৩৯৪৭৭৭৫")</f>
        <v>মোছাঃ আফরোজা খাতুন ০১৬১৩৯৪৭৭৭৫</v>
      </c>
      <c r="G7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3" s="21" t="str">
        <f ca="1">IFERROR(__xludf.DUMMYFUNCTION("""COMPUTED_VALUE"""),"দিপক দেব নাথ     ১৭৩৮৩৮৫৮১৯")</f>
        <v>দিপক দেব নাথ     ১৭৩৮৩৮৫৮১৯</v>
      </c>
      <c r="I73" s="21"/>
    </row>
    <row r="74" spans="1:9" ht="16.5" customHeight="1" x14ac:dyDescent="0.15">
      <c r="A74" s="25">
        <f ca="1">IFERROR(__xludf.DUMMYFUNCTION("""COMPUTED_VALUE"""),68)</f>
        <v>68</v>
      </c>
      <c r="B74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4" s="25">
        <f ca="1">IFERROR(__xludf.DUMMYFUNCTION("""COMPUTED_VALUE"""),5)</f>
        <v>5</v>
      </c>
      <c r="E74" s="25" t="str">
        <f ca="1">IFERROR(__xludf.DUMMYFUNCTION("""COMPUTED_VALUE"""),"25.45348-89.82685")</f>
        <v>25.45348-89.82685</v>
      </c>
      <c r="F74" s="25" t="str">
        <f ca="1">IFERROR(__xludf.DUMMYFUNCTION("""COMPUTED_VALUE"""),"মোছাঃ পারুল  ০১৯৪২৮৮৫০০২")</f>
        <v>মোছাঃ পারুল  ০১৯৪২৮৮৫০০২</v>
      </c>
      <c r="G7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4" s="25" t="str">
        <f ca="1">IFERROR(__xludf.DUMMYFUNCTION("""COMPUTED_VALUE"""),"দিপক দেব নাথ     ১৭৩৮৩৮৫৮১৯")</f>
        <v>দিপক দেব নাথ     ১৭৩৮৩৮৫৮১৯</v>
      </c>
      <c r="I74" s="25"/>
    </row>
    <row r="75" spans="1:9" ht="16.5" customHeight="1" x14ac:dyDescent="0.15">
      <c r="A75" s="21">
        <f ca="1">IFERROR(__xludf.DUMMYFUNCTION("""COMPUTED_VALUE"""),69)</f>
        <v>69</v>
      </c>
      <c r="B75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5" s="21">
        <f ca="1">IFERROR(__xludf.DUMMYFUNCTION("""COMPUTED_VALUE"""),5)</f>
        <v>5</v>
      </c>
      <c r="E75" s="21" t="str">
        <f ca="1">IFERROR(__xludf.DUMMYFUNCTION("""COMPUTED_VALUE"""),"25.45361-89.82681")</f>
        <v>25.45361-89.82681</v>
      </c>
      <c r="F75" s="21" t="str">
        <f ca="1">IFERROR(__xludf.DUMMYFUNCTION("""COMPUTED_VALUE"""),"মোঃ জয়নাল আবেদীন  ০১৯৪২৮৮৫৯৯২")</f>
        <v>মোঃ জয়নাল আবেদীন  ০১৯৪২৮৮৫৯৯২</v>
      </c>
      <c r="G7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5" s="21" t="str">
        <f ca="1">IFERROR(__xludf.DUMMYFUNCTION("""COMPUTED_VALUE"""),"দিপক দেব নাথ     ১৭৩৮৩৮৫৮১৯")</f>
        <v>দিপক দেব নাথ     ১৭৩৮৩৮৫৮১৯</v>
      </c>
      <c r="I75" s="21"/>
    </row>
    <row r="76" spans="1:9" ht="16.5" customHeight="1" x14ac:dyDescent="0.15">
      <c r="A76" s="25">
        <f ca="1">IFERROR(__xludf.DUMMYFUNCTION("""COMPUTED_VALUE"""),70)</f>
        <v>70</v>
      </c>
      <c r="B76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6" s="25">
        <f ca="1">IFERROR(__xludf.DUMMYFUNCTION("""COMPUTED_VALUE"""),5)</f>
        <v>5</v>
      </c>
      <c r="E76" s="25" t="str">
        <f ca="1">IFERROR(__xludf.DUMMYFUNCTION("""COMPUTED_VALUE"""),"25.4541-89.82674")</f>
        <v>25.4541-89.82674</v>
      </c>
      <c r="F76" s="25" t="str">
        <f ca="1">IFERROR(__xludf.DUMMYFUNCTION("""COMPUTED_VALUE"""),"মোঃ মোকলেছ উদ্দিন  ০১৪০৫২৫৬০৬৮")</f>
        <v>মোঃ মোকলেছ উদ্দিন  ০১৪০৫২৫৬০৬৮</v>
      </c>
      <c r="G7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6" s="25" t="str">
        <f ca="1">IFERROR(__xludf.DUMMYFUNCTION("""COMPUTED_VALUE"""),"দিপক দেব নাথ     ১৭৩৮৩৮৫৮১৯")</f>
        <v>দিপক দেব নাথ     ১৭৩৮৩৮৫৮১৯</v>
      </c>
      <c r="I76" s="25"/>
    </row>
    <row r="77" spans="1:9" ht="16.5" customHeight="1" x14ac:dyDescent="0.15">
      <c r="A77" s="21">
        <f ca="1">IFERROR(__xludf.DUMMYFUNCTION("""COMPUTED_VALUE"""),71)</f>
        <v>71</v>
      </c>
      <c r="B77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7" s="21">
        <f ca="1">IFERROR(__xludf.DUMMYFUNCTION("""COMPUTED_VALUE"""),5)</f>
        <v>5</v>
      </c>
      <c r="E77" s="21" t="str">
        <f ca="1">IFERROR(__xludf.DUMMYFUNCTION("""COMPUTED_VALUE"""),"25.45403-89.82729")</f>
        <v>25.45403-89.82729</v>
      </c>
      <c r="F77" s="21" t="str">
        <f ca="1">IFERROR(__xludf.DUMMYFUNCTION("""COMPUTED_VALUE"""),"মোছাঃ সুফিয়া খাতুন ০১৯৮৩৩৪৯৩৫৭")</f>
        <v>মোছাঃ সুফিয়া খাতুন ০১৯৮৩৩৪৯৩৫৭</v>
      </c>
      <c r="G77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7" s="21" t="str">
        <f ca="1">IFERROR(__xludf.DUMMYFUNCTION("""COMPUTED_VALUE"""),"দিপক দেব নাথ     ১৭৩৮৩৮৫৮১৯")</f>
        <v>দিপক দেব নাথ     ১৭৩৮৩৮৫৮১৯</v>
      </c>
      <c r="I77" s="21"/>
    </row>
    <row r="78" spans="1:9" ht="16.5" customHeight="1" x14ac:dyDescent="0.15">
      <c r="A78" s="25">
        <f ca="1">IFERROR(__xludf.DUMMYFUNCTION("""COMPUTED_VALUE"""),72)</f>
        <v>72</v>
      </c>
      <c r="B78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8" s="25">
        <f ca="1">IFERROR(__xludf.DUMMYFUNCTION("""COMPUTED_VALUE"""),5)</f>
        <v>5</v>
      </c>
      <c r="E78" s="25" t="str">
        <f ca="1">IFERROR(__xludf.DUMMYFUNCTION("""COMPUTED_VALUE"""),"25.4535-89.82733")</f>
        <v>25.4535-89.82733</v>
      </c>
      <c r="F78" s="25" t="str">
        <f ca="1">IFERROR(__xludf.DUMMYFUNCTION("""COMPUTED_VALUE"""),"বছির আলম ০১৯৪২০৬৮৩৬৭")</f>
        <v>বছির আলম ০১৯৪২০৬৮৩৬৭</v>
      </c>
      <c r="G78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8" s="25" t="str">
        <f ca="1">IFERROR(__xludf.DUMMYFUNCTION("""COMPUTED_VALUE"""),"দিপক দেব নাথ     ১৭৩৮৩৮৫৮১৯")</f>
        <v>দিপক দেব নাথ     ১৭৩৮৩৮৫৮১৯</v>
      </c>
      <c r="I78" s="25"/>
    </row>
    <row r="79" spans="1:9" ht="16.5" customHeight="1" x14ac:dyDescent="0.15">
      <c r="A79" s="21">
        <f ca="1">IFERROR(__xludf.DUMMYFUNCTION("""COMPUTED_VALUE"""),73)</f>
        <v>73</v>
      </c>
      <c r="B79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9" s="21">
        <f ca="1">IFERROR(__xludf.DUMMYFUNCTION("""COMPUTED_VALUE"""),5)</f>
        <v>5</v>
      </c>
      <c r="E79" s="21" t="str">
        <f ca="1">IFERROR(__xludf.DUMMYFUNCTION("""COMPUTED_VALUE"""),"25.45354-8982736")</f>
        <v>25.45354-8982736</v>
      </c>
      <c r="F79" s="21" t="str">
        <f ca="1">IFERROR(__xludf.DUMMYFUNCTION("""COMPUTED_VALUE"""),"মোছাঃ মাহমুদা খাতুন ০১৯১৬৪২১৩৯৫")</f>
        <v>মোছাঃ মাহমুদা খাতুন ০১৯১৬৪২১৩৯৫</v>
      </c>
      <c r="G79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9" s="21" t="str">
        <f ca="1">IFERROR(__xludf.DUMMYFUNCTION("""COMPUTED_VALUE"""),"দিপক দেব নাথ     ১৭৩৮৩৮৫৮১৯")</f>
        <v>দিপক দেব নাথ     ১৭৩৮৩৮৫৮১৯</v>
      </c>
      <c r="I79" s="21"/>
    </row>
    <row r="80" spans="1:9" ht="16.5" customHeight="1" x14ac:dyDescent="0.15">
      <c r="A80" s="25">
        <f ca="1">IFERROR(__xludf.DUMMYFUNCTION("""COMPUTED_VALUE"""),74)</f>
        <v>74</v>
      </c>
      <c r="B80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8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0" s="25">
        <f ca="1">IFERROR(__xludf.DUMMYFUNCTION("""COMPUTED_VALUE"""),5)</f>
        <v>5</v>
      </c>
      <c r="E80" s="25" t="str">
        <f ca="1">IFERROR(__xludf.DUMMYFUNCTION("""COMPUTED_VALUE"""),"25.45341-89.82812")</f>
        <v>25.45341-89.82812</v>
      </c>
      <c r="F80" s="25" t="str">
        <f ca="1">IFERROR(__xludf.DUMMYFUNCTION("""COMPUTED_VALUE"""),"মোঃ মানিক মিয়া  ০১৯২২০২৮৯৭৫")</f>
        <v>মোঃ মানিক মিয়া  ০১৯২২০২৮৯৭৫</v>
      </c>
      <c r="G80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0" s="25" t="str">
        <f ca="1">IFERROR(__xludf.DUMMYFUNCTION("""COMPUTED_VALUE"""),"দিপক দেব নাথ     ১৭৩৮৩৮৫৮১৯")</f>
        <v>দিপক দেব নাথ     ১৭৩৮৩৮৫৮১৯</v>
      </c>
      <c r="I80" s="25"/>
    </row>
    <row r="81" spans="1:9" ht="16.5" customHeight="1" x14ac:dyDescent="0.15">
      <c r="A81" s="21">
        <f ca="1">IFERROR(__xludf.DUMMYFUNCTION("""COMPUTED_VALUE"""),75)</f>
        <v>75</v>
      </c>
      <c r="B81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1" s="21">
        <f ca="1">IFERROR(__xludf.DUMMYFUNCTION("""COMPUTED_VALUE"""),5)</f>
        <v>5</v>
      </c>
      <c r="E81" s="21" t="str">
        <f ca="1">IFERROR(__xludf.DUMMYFUNCTION("""COMPUTED_VALUE"""),"25.4531-89.82571")</f>
        <v>25.4531-89.82571</v>
      </c>
      <c r="F81" s="21" t="str">
        <f ca="1">IFERROR(__xludf.DUMMYFUNCTION("""COMPUTED_VALUE"""),"মোঃ গোলাম হোসেন  ০১৮১৫৮১৪২২১")</f>
        <v>মোঃ গোলাম হোসেন  ০১৮১৫৮১৪২২১</v>
      </c>
      <c r="G8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1" s="21" t="str">
        <f ca="1">IFERROR(__xludf.DUMMYFUNCTION("""COMPUTED_VALUE"""),"দিপক দেব নাথ     ১৭৩৮৩৮৫৮১৯")</f>
        <v>দিপক দেব নাথ     ১৭৩৮৩৮৫৮১৯</v>
      </c>
      <c r="I81" s="21"/>
    </row>
    <row r="82" spans="1:9" ht="16.5" customHeight="1" x14ac:dyDescent="0.15">
      <c r="A82" s="25">
        <f ca="1">IFERROR(__xludf.DUMMYFUNCTION("""COMPUTED_VALUE"""),76)</f>
        <v>76</v>
      </c>
      <c r="B82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2" s="25">
        <f ca="1">IFERROR(__xludf.DUMMYFUNCTION("""COMPUTED_VALUE"""),5)</f>
        <v>5</v>
      </c>
      <c r="E82" s="25" t="str">
        <f ca="1">IFERROR(__xludf.DUMMYFUNCTION("""COMPUTED_VALUE"""),"25.43995-89.82345")</f>
        <v>25.43995-89.82345</v>
      </c>
      <c r="F82" s="25" t="str">
        <f ca="1">IFERROR(__xludf.DUMMYFUNCTION("""COMPUTED_VALUE"""),"মোঃ নুরুজ্জামান  ০১৯৭৬১০০৬৮৬")</f>
        <v>মোঃ নুরুজ্জামান  ০১৯৭৬১০০৬৮৬</v>
      </c>
      <c r="G8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2" s="25" t="str">
        <f ca="1">IFERROR(__xludf.DUMMYFUNCTION("""COMPUTED_VALUE"""),"দিপক দেব নাথ     ১৭৩৮৩৮৫৮১৯")</f>
        <v>দিপক দেব নাথ     ১৭৩৮৩৮৫৮১৯</v>
      </c>
      <c r="I82" s="25"/>
    </row>
    <row r="83" spans="1:9" ht="16.5" customHeight="1" x14ac:dyDescent="0.15">
      <c r="A83" s="21">
        <f ca="1">IFERROR(__xludf.DUMMYFUNCTION("""COMPUTED_VALUE"""),77)</f>
        <v>77</v>
      </c>
      <c r="B83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3" s="21">
        <f ca="1">IFERROR(__xludf.DUMMYFUNCTION("""COMPUTED_VALUE"""),5)</f>
        <v>5</v>
      </c>
      <c r="E83" s="21" t="str">
        <f ca="1">IFERROR(__xludf.DUMMYFUNCTION("""COMPUTED_VALUE"""),"25.43827-89.82528")</f>
        <v>25.43827-89.82528</v>
      </c>
      <c r="F83" s="21" t="str">
        <f ca="1">IFERROR(__xludf.DUMMYFUNCTION("""COMPUTED_VALUE"""),"মোছাঃ ওযুফা  খাতুন  ০১৯১০৫৩৮০০২")</f>
        <v>মোছাঃ ওযুফা  খাতুন  ০১৯১০৫৩৮০০২</v>
      </c>
      <c r="G8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3" s="21" t="str">
        <f ca="1">IFERROR(__xludf.DUMMYFUNCTION("""COMPUTED_VALUE"""),"দিপক দেব নাথ     ১৭৩৮৩৮৫৮১৯")</f>
        <v>দিপক দেব নাথ     ১৭৩৮৩৮৫৮১৯</v>
      </c>
      <c r="I83" s="21"/>
    </row>
    <row r="84" spans="1:9" ht="16.5" customHeight="1" x14ac:dyDescent="0.15">
      <c r="A84" s="25">
        <f ca="1">IFERROR(__xludf.DUMMYFUNCTION("""COMPUTED_VALUE"""),78)</f>
        <v>78</v>
      </c>
      <c r="B84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4" s="25">
        <f ca="1">IFERROR(__xludf.DUMMYFUNCTION("""COMPUTED_VALUE"""),5)</f>
        <v>5</v>
      </c>
      <c r="E84" s="25" t="str">
        <f ca="1">IFERROR(__xludf.DUMMYFUNCTION("""COMPUTED_VALUE"""),"25.43814-89.82607")</f>
        <v>25.43814-89.82607</v>
      </c>
      <c r="F84" s="25" t="str">
        <f ca="1">IFERROR(__xludf.DUMMYFUNCTION("""COMPUTED_VALUE"""),"মোঃ ই¯্রাফিল হক  ০১৭৪৭৫৪৯৭৯৬")</f>
        <v>মোঃ ই¯্রাফিল হক  ০১৭৪৭৫৪৯৭৯৬</v>
      </c>
      <c r="G8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4" s="25" t="str">
        <f ca="1">IFERROR(__xludf.DUMMYFUNCTION("""COMPUTED_VALUE"""),"দিপক দেব নাথ     ১৭৩৮৩৮৫৮১৯")</f>
        <v>দিপক দেব নাথ     ১৭৩৮৩৮৫৮১৯</v>
      </c>
      <c r="I84" s="25"/>
    </row>
    <row r="85" spans="1:9" ht="16.5" customHeight="1" x14ac:dyDescent="0.15">
      <c r="A85" s="21">
        <f ca="1">IFERROR(__xludf.DUMMYFUNCTION("""COMPUTED_VALUE"""),79)</f>
        <v>79</v>
      </c>
      <c r="B85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5" s="21">
        <f ca="1">IFERROR(__xludf.DUMMYFUNCTION("""COMPUTED_VALUE"""),5)</f>
        <v>5</v>
      </c>
      <c r="E85" s="21" t="str">
        <f ca="1">IFERROR(__xludf.DUMMYFUNCTION("""COMPUTED_VALUE"""),"25.43283-89.82583")</f>
        <v>25.43283-89.82583</v>
      </c>
      <c r="F85" s="21" t="str">
        <f ca="1">IFERROR(__xludf.DUMMYFUNCTION("""COMPUTED_VALUE"""),"মোঃ ছালাম মিয়া ০১৯৩৫৬৩৩৯২৫")</f>
        <v>মোঃ ছালাম মিয়া ০১৯৩৫৬৩৩৯২৫</v>
      </c>
      <c r="G8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5" s="21" t="str">
        <f ca="1">IFERROR(__xludf.DUMMYFUNCTION("""COMPUTED_VALUE"""),"দিপক দেব নাথ     ১৭৩৮৩৮৫৮১৯")</f>
        <v>দিপক দেব নাথ     ১৭৩৮৩৮৫৮১৯</v>
      </c>
      <c r="I85" s="21"/>
    </row>
    <row r="86" spans="1:9" ht="16.5" customHeight="1" x14ac:dyDescent="0.15">
      <c r="A86" s="25">
        <f ca="1">IFERROR(__xludf.DUMMYFUNCTION("""COMPUTED_VALUE"""),80)</f>
        <v>80</v>
      </c>
      <c r="B86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6" s="25">
        <f ca="1">IFERROR(__xludf.DUMMYFUNCTION("""COMPUTED_VALUE"""),5)</f>
        <v>5</v>
      </c>
      <c r="E86" s="25" t="str">
        <f ca="1">IFERROR(__xludf.DUMMYFUNCTION("""COMPUTED_VALUE"""),"25.44033-89.82836")</f>
        <v>25.44033-89.82836</v>
      </c>
      <c r="F86" s="25" t="str">
        <f ca="1">IFERROR(__xludf.DUMMYFUNCTION("""COMPUTED_VALUE"""),"মোঃ মানিক মিয়া   ০১৮২৯৫৪৮৯৭৬")</f>
        <v>মোঃ মানিক মিয়া   ০১৮২৯৫৪৮৯৭৬</v>
      </c>
      <c r="G8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6" s="25" t="str">
        <f ca="1">IFERROR(__xludf.DUMMYFUNCTION("""COMPUTED_VALUE"""),"দিপক দেব নাথ     ১৭৩৮৩৮৫৮১৯")</f>
        <v>দিপক দেব নাথ     ১৭৩৮৩৮৫৮১৯</v>
      </c>
      <c r="I86" s="25"/>
    </row>
    <row r="87" spans="1:9" ht="16.5" customHeight="1" x14ac:dyDescent="0.15">
      <c r="A87" s="21">
        <f ca="1">IFERROR(__xludf.DUMMYFUNCTION("""COMPUTED_VALUE"""),81)</f>
        <v>81</v>
      </c>
      <c r="B87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7" s="21">
        <f ca="1">IFERROR(__xludf.DUMMYFUNCTION("""COMPUTED_VALUE"""),5)</f>
        <v>5</v>
      </c>
      <c r="E87" s="21" t="str">
        <f ca="1">IFERROR(__xludf.DUMMYFUNCTION("""COMPUTED_VALUE"""),"25.43313-89.82374")</f>
        <v>25.43313-89.82374</v>
      </c>
      <c r="F87" s="21" t="str">
        <f ca="1">IFERROR(__xludf.DUMMYFUNCTION("""COMPUTED_VALUE"""),"মোঃ আজিবর রহমান  ০১৪০১৯৬৩০৩৬")</f>
        <v>মোঃ আজিবর রহমান  ০১৪০১৯৬৩০৩৬</v>
      </c>
      <c r="G87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7" s="21" t="str">
        <f ca="1">IFERROR(__xludf.DUMMYFUNCTION("""COMPUTED_VALUE"""),"দিপক দেব নাথ     ১৭৩৮৩৮৫৮১৯")</f>
        <v>দিপক দেব নাথ     ১৭৩৮৩৮৫৮১৯</v>
      </c>
      <c r="I87" s="21"/>
    </row>
    <row r="88" spans="1:9" ht="16.5" customHeight="1" x14ac:dyDescent="0.15">
      <c r="A88" s="25">
        <f ca="1">IFERROR(__xludf.DUMMYFUNCTION("""COMPUTED_VALUE"""),82)</f>
        <v>82</v>
      </c>
      <c r="B88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8" s="25">
        <f ca="1">IFERROR(__xludf.DUMMYFUNCTION("""COMPUTED_VALUE"""),5)</f>
        <v>5</v>
      </c>
      <c r="E88" s="25" t="str">
        <f ca="1">IFERROR(__xludf.DUMMYFUNCTION("""COMPUTED_VALUE"""),"25.44095-89.82433")</f>
        <v>25.44095-89.82433</v>
      </c>
      <c r="F88" s="25" t="str">
        <f ca="1">IFERROR(__xludf.DUMMYFUNCTION("""COMPUTED_VALUE"""),"মোঃ আইজুল ইসলাম  ০১৯৮৭৮৭৯৩৭৮")</f>
        <v>মোঃ আইজুল ইসলাম  ০১৯৮৭৮৭৯৩৭৮</v>
      </c>
      <c r="G88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8" s="25" t="str">
        <f ca="1">IFERROR(__xludf.DUMMYFUNCTION("""COMPUTED_VALUE"""),"দিপক দেব নাথ     ১৭৩৮৩৮৫৮১৯")</f>
        <v>দিপক দেব নাথ     ১৭৩৮৩৮৫৮১৯</v>
      </c>
      <c r="I88" s="25"/>
    </row>
    <row r="89" spans="1:9" ht="16.5" customHeight="1" x14ac:dyDescent="0.15">
      <c r="A89" s="21">
        <f ca="1">IFERROR(__xludf.DUMMYFUNCTION("""COMPUTED_VALUE"""),83)</f>
        <v>83</v>
      </c>
      <c r="B89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9" s="21">
        <f ca="1">IFERROR(__xludf.DUMMYFUNCTION("""COMPUTED_VALUE"""),5)</f>
        <v>5</v>
      </c>
      <c r="E89" s="21" t="str">
        <f ca="1">IFERROR(__xludf.DUMMYFUNCTION("""COMPUTED_VALUE"""),"25.4384-89.82476")</f>
        <v>25.4384-89.82476</v>
      </c>
      <c r="F89" s="21" t="str">
        <f ca="1">IFERROR(__xludf.DUMMYFUNCTION("""COMPUTED_VALUE"""),"মোঃ নজরুল ইসলাম  ০১৯১৪২৯০৭৬২")</f>
        <v>মোঃ নজরুল ইসলাম  ০১৯১৪২৯০৭৬২</v>
      </c>
      <c r="G89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9" s="21" t="str">
        <f ca="1">IFERROR(__xludf.DUMMYFUNCTION("""COMPUTED_VALUE"""),"দিপক দেব নাথ     ১৭৩৮৩৮৫৮১৯")</f>
        <v>দিপক দেব নাথ     ১৭৩৮৩৮৫৮১৯</v>
      </c>
      <c r="I89" s="21"/>
    </row>
    <row r="90" spans="1:9" ht="16.5" customHeight="1" x14ac:dyDescent="0.15">
      <c r="A90" s="25">
        <f ca="1">IFERROR(__xludf.DUMMYFUNCTION("""COMPUTED_VALUE"""),84)</f>
        <v>84</v>
      </c>
      <c r="B90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0" s="25">
        <f ca="1">IFERROR(__xludf.DUMMYFUNCTION("""COMPUTED_VALUE"""),5)</f>
        <v>5</v>
      </c>
      <c r="E90" s="25" t="str">
        <f ca="1">IFERROR(__xludf.DUMMYFUNCTION("""COMPUTED_VALUE"""),"25.49897-89.82783")</f>
        <v>25.49897-89.82783</v>
      </c>
      <c r="F90" s="25" t="str">
        <f ca="1">IFERROR(__xludf.DUMMYFUNCTION("""COMPUTED_VALUE"""),"মোঃ সফিউর রহমান  ০১৯৮৭৮৭৯৩৭৮")</f>
        <v>মোঃ সফিউর রহমান  ০১৯৮৭৮৭৯৩৭৮</v>
      </c>
      <c r="G90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0" s="25" t="str">
        <f ca="1">IFERROR(__xludf.DUMMYFUNCTION("""COMPUTED_VALUE"""),"দিপক দেব নাথ     ১৭৩৮৩৮৫৮১৯")</f>
        <v>দিপক দেব নাথ     ১৭৩৮৩৮৫৮১৯</v>
      </c>
      <c r="I90" s="25"/>
    </row>
    <row r="91" spans="1:9" ht="16.5" customHeight="1" x14ac:dyDescent="0.15">
      <c r="A91" s="21">
        <f ca="1">IFERROR(__xludf.DUMMYFUNCTION("""COMPUTED_VALUE"""),85)</f>
        <v>85</v>
      </c>
      <c r="B91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1" s="21">
        <f ca="1">IFERROR(__xludf.DUMMYFUNCTION("""COMPUTED_VALUE"""),5)</f>
        <v>5</v>
      </c>
      <c r="E91" s="21" t="str">
        <f ca="1">IFERROR(__xludf.DUMMYFUNCTION("""COMPUTED_VALUE"""),"25.43863-89.82468")</f>
        <v>25.43863-89.82468</v>
      </c>
      <c r="F91" s="21" t="str">
        <f ca="1">IFERROR(__xludf.DUMMYFUNCTION("""COMPUTED_VALUE"""),"মোঃ সফিকুল ইসলাম ০১৯২৬৪৬১২০৭")</f>
        <v>মোঃ সফিকুল ইসলাম ০১৯২৬৪৬১২০৭</v>
      </c>
      <c r="G9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1" s="21" t="str">
        <f ca="1">IFERROR(__xludf.DUMMYFUNCTION("""COMPUTED_VALUE"""),"দিপক দেব নাথ     ১৭৩৮৩৮৫৮১৯")</f>
        <v>দিপক দেব নাথ     ১৭৩৮৩৮৫৮১৯</v>
      </c>
      <c r="I91" s="21"/>
    </row>
    <row r="92" spans="1:9" ht="16.5" customHeight="1" x14ac:dyDescent="0.15">
      <c r="A92" s="25">
        <f ca="1">IFERROR(__xludf.DUMMYFUNCTION("""COMPUTED_VALUE"""),86)</f>
        <v>86</v>
      </c>
      <c r="B92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2" s="25">
        <f ca="1">IFERROR(__xludf.DUMMYFUNCTION("""COMPUTED_VALUE"""),5)</f>
        <v>5</v>
      </c>
      <c r="E92" s="25" t="str">
        <f ca="1">IFERROR(__xludf.DUMMYFUNCTION("""COMPUTED_VALUE"""),"25.44089-89.82812")</f>
        <v>25.44089-89.82812</v>
      </c>
      <c r="F92" s="25" t="str">
        <f ca="1">IFERROR(__xludf.DUMMYFUNCTION("""COMPUTED_VALUE"""),"মোঃ রাশেদুল ইসলাম ০১৯২০৪১০৪২৭")</f>
        <v>মোঃ রাশেদুল ইসলাম ০১৯২০৪১০৪২৭</v>
      </c>
      <c r="G9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2" s="25" t="str">
        <f ca="1">IFERROR(__xludf.DUMMYFUNCTION("""COMPUTED_VALUE"""),"দিপক দেব নাথ     ১৭৩৮৩৮৫৮১৯")</f>
        <v>দিপক দেব নাথ     ১৭৩৮৩৮৫৮১৯</v>
      </c>
      <c r="I92" s="25"/>
    </row>
    <row r="93" spans="1:9" ht="16.5" customHeight="1" x14ac:dyDescent="0.15">
      <c r="A93" s="21">
        <f ca="1">IFERROR(__xludf.DUMMYFUNCTION("""COMPUTED_VALUE"""),87)</f>
        <v>87</v>
      </c>
      <c r="B93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3" s="21">
        <f ca="1">IFERROR(__xludf.DUMMYFUNCTION("""COMPUTED_VALUE"""),5)</f>
        <v>5</v>
      </c>
      <c r="E93" s="21" t="str">
        <f ca="1">IFERROR(__xludf.DUMMYFUNCTION("""COMPUTED_VALUE"""),"25.4388-89.82367")</f>
        <v>25.4388-89.82367</v>
      </c>
      <c r="F93" s="21" t="str">
        <f ca="1">IFERROR(__xludf.DUMMYFUNCTION("""COMPUTED_VALUE"""),"মোঃ মোনাহার আলী  ০১৩৪৩৮১৯৪৭৭")</f>
        <v>মোঃ মোনাহার আলী  ০১৩৪৩৮১৯৪৭৭</v>
      </c>
      <c r="G9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3" s="21" t="str">
        <f ca="1">IFERROR(__xludf.DUMMYFUNCTION("""COMPUTED_VALUE"""),"দিপক দেব নাথ     ১৭৩৮৩৮৫৮১৯")</f>
        <v>দিপক দেব নাথ     ১৭৩৮৩৮৫৮১৯</v>
      </c>
      <c r="I93" s="21"/>
    </row>
    <row r="94" spans="1:9" ht="16.5" customHeight="1" x14ac:dyDescent="0.15">
      <c r="A94" s="25">
        <f ca="1">IFERROR(__xludf.DUMMYFUNCTION("""COMPUTED_VALUE"""),88)</f>
        <v>88</v>
      </c>
      <c r="B94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4" s="25">
        <f ca="1">IFERROR(__xludf.DUMMYFUNCTION("""COMPUTED_VALUE"""),5)</f>
        <v>5</v>
      </c>
      <c r="E94" s="25" t="str">
        <f ca="1">IFERROR(__xludf.DUMMYFUNCTION("""COMPUTED_VALUE"""),"25.43369-89.82366")</f>
        <v>25.43369-89.82366</v>
      </c>
      <c r="F94" s="25" t="str">
        <f ca="1">IFERROR(__xludf.DUMMYFUNCTION("""COMPUTED_VALUE"""),"মোঃ মৈনুদ্দিন  ০১৯৩৪০৫২৪৯৪")</f>
        <v>মোঃ মৈনুদ্দিন  ০১৯৩৪০৫২৪৯৪</v>
      </c>
      <c r="G9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4" s="25" t="str">
        <f ca="1">IFERROR(__xludf.DUMMYFUNCTION("""COMPUTED_VALUE"""),"দিপক দেব নাথ     ১৭৩৮৩৮৫৮১৯")</f>
        <v>দিপক দেব নাথ     ১৭৩৮৩৮৫৮১৯</v>
      </c>
      <c r="I94" s="25"/>
    </row>
    <row r="95" spans="1:9" ht="16.5" customHeight="1" x14ac:dyDescent="0.15">
      <c r="A95" s="21">
        <f ca="1">IFERROR(__xludf.DUMMYFUNCTION("""COMPUTED_VALUE"""),89)</f>
        <v>89</v>
      </c>
      <c r="B95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5" s="21">
        <f ca="1">IFERROR(__xludf.DUMMYFUNCTION("""COMPUTED_VALUE"""),5)</f>
        <v>5</v>
      </c>
      <c r="E95" s="21" t="str">
        <f ca="1">IFERROR(__xludf.DUMMYFUNCTION("""COMPUTED_VALUE"""),"25.4383-89.82489")</f>
        <v>25.4383-89.82489</v>
      </c>
      <c r="F95" s="21" t="str">
        <f ca="1">IFERROR(__xludf.DUMMYFUNCTION("""COMPUTED_VALUE"""),"মোছাঃ কহিনুর  ০১৯৮৪৩৫৭০৮")</f>
        <v>মোছাঃ কহিনুর  ০১৯৮৪৩৫৭০৮</v>
      </c>
      <c r="G9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5" s="21" t="str">
        <f ca="1">IFERROR(__xludf.DUMMYFUNCTION("""COMPUTED_VALUE"""),"দিপক দেব নাথ     ১৭৩৮৩৮৫৮১৯")</f>
        <v>দিপক দেব নাথ     ১৭৩৮৩৮৫৮১৯</v>
      </c>
      <c r="I95" s="21"/>
    </row>
    <row r="96" spans="1:9" ht="16.5" customHeight="1" x14ac:dyDescent="0.15">
      <c r="A96" s="25">
        <f ca="1">IFERROR(__xludf.DUMMYFUNCTION("""COMPUTED_VALUE"""),90)</f>
        <v>90</v>
      </c>
      <c r="B96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6" s="25">
        <f ca="1">IFERROR(__xludf.DUMMYFUNCTION("""COMPUTED_VALUE"""),5)</f>
        <v>5</v>
      </c>
      <c r="E96" s="25" t="str">
        <f ca="1">IFERROR(__xludf.DUMMYFUNCTION("""COMPUTED_VALUE"""),"25.43891-89.82782")</f>
        <v>25.43891-89.82782</v>
      </c>
      <c r="F96" s="25" t="str">
        <f ca="1">IFERROR(__xludf.DUMMYFUNCTION("""COMPUTED_VALUE"""),"মোঃ তারু মিয়া  ০১৯৬২০৯৫৯৮")</f>
        <v>মোঃ তারু মিয়া  ০১৯৬২০৯৫৯৮</v>
      </c>
      <c r="G9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6" s="25" t="str">
        <f ca="1">IFERROR(__xludf.DUMMYFUNCTION("""COMPUTED_VALUE"""),"দিপক দেব নাথ     ১৭৩৮৩৮৫৮১৯")</f>
        <v>দিপক দেব নাথ     ১৭৩৮৩৮৫৮১৯</v>
      </c>
      <c r="I96" s="25"/>
    </row>
    <row r="97" spans="1:9" ht="16.5" customHeight="1" x14ac:dyDescent="0.15">
      <c r="A97" s="21">
        <f ca="1">IFERROR(__xludf.DUMMYFUNCTION("""COMPUTED_VALUE"""),91)</f>
        <v>91</v>
      </c>
      <c r="B97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7" s="21">
        <f ca="1">IFERROR(__xludf.DUMMYFUNCTION("""COMPUTED_VALUE"""),5)</f>
        <v>5</v>
      </c>
      <c r="E97" s="21" t="str">
        <f ca="1">IFERROR(__xludf.DUMMYFUNCTION("""COMPUTED_VALUE"""),"25.413209-89.767715")</f>
        <v>25.413209-89.767715</v>
      </c>
      <c r="F97" s="21" t="str">
        <f ca="1">IFERROR(__xludf.DUMMYFUNCTION("""COMPUTED_VALUE"""),"মোছাঃ সুলতানা পারভীন ০১৭৯৩৬৪৬৪০৬")</f>
        <v>মোছাঃ সুলতানা পারভীন ০১৭৯৩৬৪৬৪০৬</v>
      </c>
      <c r="G9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7" s="21" t="str">
        <f ca="1">IFERROR(__xludf.DUMMYFUNCTION("""COMPUTED_VALUE"""),"দিপক দেব নাথ     ১৭৩৮৩৮৫৮১৯")</f>
        <v>দিপক দেব নাথ     ১৭৩৮৩৮৫৮১৯</v>
      </c>
      <c r="I97" s="21"/>
    </row>
    <row r="98" spans="1:9" ht="16.5" customHeight="1" x14ac:dyDescent="0.15">
      <c r="A98" s="25">
        <f ca="1">IFERROR(__xludf.DUMMYFUNCTION("""COMPUTED_VALUE"""),92)</f>
        <v>92</v>
      </c>
      <c r="B98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8" s="25">
        <f ca="1">IFERROR(__xludf.DUMMYFUNCTION("""COMPUTED_VALUE"""),5)</f>
        <v>5</v>
      </c>
      <c r="E98" s="25" t="str">
        <f ca="1">IFERROR(__xludf.DUMMYFUNCTION("""COMPUTED_VALUE"""),"25.412461-89.767388")</f>
        <v>25.412461-89.767388</v>
      </c>
      <c r="F98" s="25" t="str">
        <f ca="1">IFERROR(__xludf.DUMMYFUNCTION("""COMPUTED_VALUE"""),"মোঃ আব্দুস সালাম  ০১৬১৫২৫২৭৬২")</f>
        <v>মোঃ আব্দুস সালাম  ০১৬১৫২৫২৭৬২</v>
      </c>
      <c r="G98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8" s="25" t="str">
        <f ca="1">IFERROR(__xludf.DUMMYFUNCTION("""COMPUTED_VALUE"""),"দিপক দেব নাথ     ১৭৩৮৩৮৫৮১৯")</f>
        <v>দিপক দেব নাথ     ১৭৩৮৩৮৫৮১৯</v>
      </c>
      <c r="I98" s="25"/>
    </row>
    <row r="99" spans="1:9" ht="16.5" customHeight="1" x14ac:dyDescent="0.15">
      <c r="A99" s="21">
        <f ca="1">IFERROR(__xludf.DUMMYFUNCTION("""COMPUTED_VALUE"""),93)</f>
        <v>93</v>
      </c>
      <c r="B99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9" s="21">
        <f ca="1">IFERROR(__xludf.DUMMYFUNCTION("""COMPUTED_VALUE"""),5)</f>
        <v>5</v>
      </c>
      <c r="E99" s="21" t="str">
        <f ca="1">IFERROR(__xludf.DUMMYFUNCTION("""COMPUTED_VALUE"""),"25.412654-89.767452")</f>
        <v>25.412654-89.767452</v>
      </c>
      <c r="F99" s="21" t="str">
        <f ca="1">IFERROR(__xludf.DUMMYFUNCTION("""COMPUTED_VALUE"""),"মোঃ সোহেল রানা  ০১৬৪৮৪৯১১৪২")</f>
        <v>মোঃ সোহেল রানা  ০১৬৪৮৪৯১১৪২</v>
      </c>
      <c r="G99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9" s="21" t="str">
        <f ca="1">IFERROR(__xludf.DUMMYFUNCTION("""COMPUTED_VALUE"""),"দিপক দেব নাথ     ১৭৩৮৩৮৫৮১৯")</f>
        <v>দিপক দেব নাথ     ১৭৩৮৩৮৫৮১৯</v>
      </c>
      <c r="I99" s="21"/>
    </row>
    <row r="100" spans="1:9" ht="16.5" customHeight="1" x14ac:dyDescent="0.15">
      <c r="A100" s="25">
        <f ca="1">IFERROR(__xludf.DUMMYFUNCTION("""COMPUTED_VALUE"""),94)</f>
        <v>94</v>
      </c>
      <c r="B100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0" s="25">
        <f ca="1">IFERROR(__xludf.DUMMYFUNCTION("""COMPUTED_VALUE"""),5)</f>
        <v>5</v>
      </c>
      <c r="E100" s="25" t="str">
        <f ca="1">IFERROR(__xludf.DUMMYFUNCTION("""COMPUTED_VALUE"""),"25.413470-89.767654")</f>
        <v>25.413470-89.767654</v>
      </c>
      <c r="F100" s="25" t="str">
        <f ca="1">IFERROR(__xludf.DUMMYFUNCTION("""COMPUTED_VALUE"""),"মোঃ ছলিম উদ্দিন ০১৯৯৫৬৬৮৮৭২")</f>
        <v>মোঃ ছলিম উদ্দিন ০১৯৯৫৬৬৮৮৭২</v>
      </c>
      <c r="G100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0" s="25" t="str">
        <f ca="1">IFERROR(__xludf.DUMMYFUNCTION("""COMPUTED_VALUE"""),"দিপক দেব নাথ     ১৭৩৮৩৮৫৮১৯")</f>
        <v>দিপক দেব নাথ     ১৭৩৮৩৮৫৮১৯</v>
      </c>
      <c r="I100" s="25"/>
    </row>
    <row r="101" spans="1:9" ht="16.5" customHeight="1" x14ac:dyDescent="0.15">
      <c r="A101" s="21">
        <f ca="1">IFERROR(__xludf.DUMMYFUNCTION("""COMPUTED_VALUE"""),95)</f>
        <v>95</v>
      </c>
      <c r="B101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1" s="21">
        <f ca="1">IFERROR(__xludf.DUMMYFUNCTION("""COMPUTED_VALUE"""),5)</f>
        <v>5</v>
      </c>
      <c r="E101" s="21" t="str">
        <f ca="1">IFERROR(__xludf.DUMMYFUNCTION("""COMPUTED_VALUE"""),"25.414145-89.765339")</f>
        <v>25.414145-89.765339</v>
      </c>
      <c r="F101" s="21" t="str">
        <f ca="1">IFERROR(__xludf.DUMMYFUNCTION("""COMPUTED_VALUE"""),"মোঃ মাইদুল ইসলাম  ০১৯২৫৭২৬৮০৯")</f>
        <v>মোঃ মাইদুল ইসলাম  ০১৯২৫৭২৬৮০৯</v>
      </c>
      <c r="G101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1" s="21" t="str">
        <f ca="1">IFERROR(__xludf.DUMMYFUNCTION("""COMPUTED_VALUE"""),"দিপক দেব নাথ     ১৭৩৮৩৮৫৮১৯")</f>
        <v>দিপক দেব নাথ     ১৭৩৮৩৮৫৮১৯</v>
      </c>
      <c r="I101" s="21"/>
    </row>
    <row r="102" spans="1:9" ht="16.5" customHeight="1" x14ac:dyDescent="0.15">
      <c r="A102" s="25">
        <f ca="1">IFERROR(__xludf.DUMMYFUNCTION("""COMPUTED_VALUE"""),96)</f>
        <v>96</v>
      </c>
      <c r="B102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2" s="25">
        <f ca="1">IFERROR(__xludf.DUMMYFUNCTION("""COMPUTED_VALUE"""),5)</f>
        <v>5</v>
      </c>
      <c r="E102" s="25" t="str">
        <f ca="1">IFERROR(__xludf.DUMMYFUNCTION("""COMPUTED_VALUE"""),"25.413133-89.767455")</f>
        <v>25.413133-89.767455</v>
      </c>
      <c r="F102" s="25" t="str">
        <f ca="1">IFERROR(__xludf.DUMMYFUNCTION("""COMPUTED_VALUE"""),"মোঃ আল মামুন  ০১৭৬৬১০৭৬১৩")</f>
        <v>মোঃ আল মামুন  ০১৭৬৬১০৭৬১৩</v>
      </c>
      <c r="G102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2" s="25" t="str">
        <f ca="1">IFERROR(__xludf.DUMMYFUNCTION("""COMPUTED_VALUE"""),"দিপক দেব নাথ     ১৭৩৮৩৮৫৮১৯")</f>
        <v>দিপক দেব নাথ     ১৭৩৮৩৮৫৮১৯</v>
      </c>
      <c r="I102" s="25"/>
    </row>
    <row r="103" spans="1:9" ht="16.5" customHeight="1" x14ac:dyDescent="0.15">
      <c r="A103" s="21">
        <f ca="1">IFERROR(__xludf.DUMMYFUNCTION("""COMPUTED_VALUE"""),97)</f>
        <v>97</v>
      </c>
      <c r="B103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3" s="21">
        <f ca="1">IFERROR(__xludf.DUMMYFUNCTION("""COMPUTED_VALUE"""),5)</f>
        <v>5</v>
      </c>
      <c r="E103" s="21" t="str">
        <f ca="1">IFERROR(__xludf.DUMMYFUNCTION("""COMPUTED_VALUE"""),"25.412798-89.767453")</f>
        <v>25.412798-89.767453</v>
      </c>
      <c r="F103" s="21" t="str">
        <f ca="1">IFERROR(__xludf.DUMMYFUNCTION("""COMPUTED_VALUE"""),"মোঃ ছানোয়ার হোসেন  ০১৮৩১৪৮৪০৪০")</f>
        <v>মোঃ ছানোয়ার হোসেন  ০১৮৩১৪৮৪০৪০</v>
      </c>
      <c r="G103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3" s="21" t="str">
        <f ca="1">IFERROR(__xludf.DUMMYFUNCTION("""COMPUTED_VALUE"""),"দিপক দেব নাথ     ১৭৩৮৩৮৫৮১৯")</f>
        <v>দিপক দেব নাথ     ১৭৩৮৩৮৫৮১৯</v>
      </c>
      <c r="I103" s="21"/>
    </row>
    <row r="104" spans="1:9" ht="16.5" customHeight="1" x14ac:dyDescent="0.15">
      <c r="A104" s="25">
        <f ca="1">IFERROR(__xludf.DUMMYFUNCTION("""COMPUTED_VALUE"""),98)</f>
        <v>98</v>
      </c>
      <c r="B104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4" s="25">
        <f ca="1">IFERROR(__xludf.DUMMYFUNCTION("""COMPUTED_VALUE"""),5)</f>
        <v>5</v>
      </c>
      <c r="E104" s="25" t="str">
        <f ca="1">IFERROR(__xludf.DUMMYFUNCTION("""COMPUTED_VALUE"""),"25.413274-89.767470")</f>
        <v>25.413274-89.767470</v>
      </c>
      <c r="F104" s="25" t="str">
        <f ca="1">IFERROR(__xludf.DUMMYFUNCTION("""COMPUTED_VALUE"""),"মোছাঃ কদভানু বেগম ০১৮২৮১৯২৯৪০")</f>
        <v>মোছাঃ কদভানু বেগম ০১৮২৮১৯২৯৪০</v>
      </c>
      <c r="G104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4" s="25" t="str">
        <f ca="1">IFERROR(__xludf.DUMMYFUNCTION("""COMPUTED_VALUE"""),"দিপক দেব নাথ     ১৭৩৮৩৮৫৮১৯")</f>
        <v>দিপক দেব নাথ     ১৭৩৮৩৮৫৮১৯</v>
      </c>
      <c r="I104" s="25"/>
    </row>
    <row r="105" spans="1:9" ht="16.5" customHeight="1" x14ac:dyDescent="0.15">
      <c r="A105" s="21">
        <f ca="1">IFERROR(__xludf.DUMMYFUNCTION("""COMPUTED_VALUE"""),99)</f>
        <v>99</v>
      </c>
      <c r="B105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5" s="21">
        <f ca="1">IFERROR(__xludf.DUMMYFUNCTION("""COMPUTED_VALUE"""),5)</f>
        <v>5</v>
      </c>
      <c r="E105" s="21" t="str">
        <f ca="1">IFERROR(__xludf.DUMMYFUNCTION("""COMPUTED_VALUE"""),"25.413472-89.766374")</f>
        <v>25.413472-89.766374</v>
      </c>
      <c r="F105" s="21" t="str">
        <f ca="1">IFERROR(__xludf.DUMMYFUNCTION("""COMPUTED_VALUE"""),"মোঃ রাশেদুল ইসলাম  ০১৭৩৪৩৭০৫০৯")</f>
        <v>মোঃ রাশেদুল ইসলাম  ০১৭৩৪৩৭০৫০৯</v>
      </c>
      <c r="G105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5" s="21" t="str">
        <f ca="1">IFERROR(__xludf.DUMMYFUNCTION("""COMPUTED_VALUE"""),"দিপক দেব নাথ     ১৭৩৮৩৮৫৮১৯")</f>
        <v>দিপক দেব নাথ     ১৭৩৮৩৮৫৮১৯</v>
      </c>
      <c r="I105" s="21"/>
    </row>
    <row r="106" spans="1:9" ht="16.5" customHeight="1" x14ac:dyDescent="0.15">
      <c r="A106" s="25">
        <f ca="1">IFERROR(__xludf.DUMMYFUNCTION("""COMPUTED_VALUE"""),100)</f>
        <v>100</v>
      </c>
      <c r="B106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6" s="25">
        <f ca="1">IFERROR(__xludf.DUMMYFUNCTION("""COMPUTED_VALUE"""),5)</f>
        <v>5</v>
      </c>
      <c r="E106" s="25" t="str">
        <f ca="1">IFERROR(__xludf.DUMMYFUNCTION("""COMPUTED_VALUE"""),"25.413118-89.767415")</f>
        <v>25.413118-89.767415</v>
      </c>
      <c r="F106" s="25" t="str">
        <f ca="1">IFERROR(__xludf.DUMMYFUNCTION("""COMPUTED_VALUE"""),"মোঃ মাসুদ রানা  ০১৭৫৩৬৫৬৬০৩")</f>
        <v>মোঃ মাসুদ রানা  ০১৭৫৩৬৫৬৬০৩</v>
      </c>
      <c r="G106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6" s="25" t="str">
        <f ca="1">IFERROR(__xludf.DUMMYFUNCTION("""COMPUTED_VALUE"""),"দিপক দেব নাথ     ১৭৩৮৩৮৫৮১৯")</f>
        <v>দিপক দেব নাথ     ১৭৩৮৩৮৫৮১৯</v>
      </c>
      <c r="I106" s="25"/>
    </row>
    <row r="107" spans="1:9" ht="16.5" customHeight="1" x14ac:dyDescent="0.15">
      <c r="A107" s="21">
        <f ca="1">IFERROR(__xludf.DUMMYFUNCTION("""COMPUTED_VALUE"""),101)</f>
        <v>101</v>
      </c>
      <c r="B107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7" s="21">
        <f ca="1">IFERROR(__xludf.DUMMYFUNCTION("""COMPUTED_VALUE"""),5)</f>
        <v>5</v>
      </c>
      <c r="E107" s="21" t="str">
        <f ca="1">IFERROR(__xludf.DUMMYFUNCTION("""COMPUTED_VALUE"""),"25.42506-89.76709")</f>
        <v>25.42506-89.76709</v>
      </c>
      <c r="F107" s="21" t="str">
        <f ca="1">IFERROR(__xludf.DUMMYFUNCTION("""COMPUTED_VALUE"""),"মোছাঃ আশামণি ০১৯৯৪৫৮৯০৮৯")</f>
        <v>মোছাঃ আশামণি ০১৯৯৪৫৮৯০৮৯</v>
      </c>
      <c r="G10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7" s="21" t="str">
        <f ca="1">IFERROR(__xludf.DUMMYFUNCTION("""COMPUTED_VALUE"""),"দিপক দেব নাথ     ১৭৩৮৩৮৫৮১৯")</f>
        <v>দিপক দেব নাথ     ১৭৩৮৩৮৫৮১৯</v>
      </c>
      <c r="I107" s="21"/>
    </row>
    <row r="108" spans="1:9" ht="16.5" customHeight="1" x14ac:dyDescent="0.15">
      <c r="A108" s="25">
        <f ca="1">IFERROR(__xludf.DUMMYFUNCTION("""COMPUTED_VALUE"""),102)</f>
        <v>102</v>
      </c>
      <c r="B10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8" s="25">
        <f ca="1">IFERROR(__xludf.DUMMYFUNCTION("""COMPUTED_VALUE"""),5)</f>
        <v>5</v>
      </c>
      <c r="E108" s="25" t="str">
        <f ca="1">IFERROR(__xludf.DUMMYFUNCTION("""COMPUTED_VALUE"""),"25.42571-89.76702")</f>
        <v>25.42571-89.76702</v>
      </c>
      <c r="F108" s="25" t="str">
        <f ca="1">IFERROR(__xludf.DUMMYFUNCTION("""COMPUTED_VALUE"""),"মোঃ মাসুদ রানা ০১৯৯৪৫৮৯০৮৯")</f>
        <v>মোঃ মাসুদ রানা ০১৯৯৪৫৮৯০৮৯</v>
      </c>
      <c r="G108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8" s="25" t="str">
        <f ca="1">IFERROR(__xludf.DUMMYFUNCTION("""COMPUTED_VALUE"""),"দিপক দেব নাথ     ১৭৩৮৩৮৫৮১৯")</f>
        <v>দিপক দেব নাথ     ১৭৩৮৩৮৫৮১৯</v>
      </c>
      <c r="I108" s="25"/>
    </row>
    <row r="109" spans="1:9" ht="16.5" customHeight="1" x14ac:dyDescent="0.15">
      <c r="A109" s="21">
        <f ca="1">IFERROR(__xludf.DUMMYFUNCTION("""COMPUTED_VALUE"""),103)</f>
        <v>103</v>
      </c>
      <c r="B10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9" s="21">
        <f ca="1">IFERROR(__xludf.DUMMYFUNCTION("""COMPUTED_VALUE"""),5)</f>
        <v>5</v>
      </c>
      <c r="E109" s="21" t="str">
        <f ca="1">IFERROR(__xludf.DUMMYFUNCTION("""COMPUTED_VALUE"""),"25.42818-89.77167")</f>
        <v>25.42818-89.77167</v>
      </c>
      <c r="F109" s="21" t="str">
        <f ca="1">IFERROR(__xludf.DUMMYFUNCTION("""COMPUTED_VALUE"""),"মোঃ জহুরুল ইসলাম  ০১৫১৯৬০৬০১১")</f>
        <v>মোঃ জহুরুল ইসলাম  ০১৫১৯৬০৬০১১</v>
      </c>
      <c r="G109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9" s="21" t="str">
        <f ca="1">IFERROR(__xludf.DUMMYFUNCTION("""COMPUTED_VALUE"""),"দিপক দেব নাথ     ১৭৩৮৩৮৫৮১৯")</f>
        <v>দিপক দেব নাথ     ১৭৩৮৩৮৫৮১৯</v>
      </c>
      <c r="I109" s="21"/>
    </row>
    <row r="110" spans="1:9" ht="16.5" customHeight="1" x14ac:dyDescent="0.15">
      <c r="A110" s="25">
        <f ca="1">IFERROR(__xludf.DUMMYFUNCTION("""COMPUTED_VALUE"""),104)</f>
        <v>104</v>
      </c>
      <c r="B110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0" s="25">
        <f ca="1">IFERROR(__xludf.DUMMYFUNCTION("""COMPUTED_VALUE"""),5)</f>
        <v>5</v>
      </c>
      <c r="E110" s="25" t="str">
        <f ca="1">IFERROR(__xludf.DUMMYFUNCTION("""COMPUTED_VALUE"""),"25.42281-89.77098")</f>
        <v>25.42281-89.77098</v>
      </c>
      <c r="F110" s="25" t="str">
        <f ca="1">IFERROR(__xludf.DUMMYFUNCTION("""COMPUTED_VALUE"""),"মোঃ বদিউজ্জামান  ০১৯৩৭১৮২৩৩৬")</f>
        <v>মোঃ বদিউজ্জামান  ০১৯৩৭১৮২৩৩৬</v>
      </c>
      <c r="G110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0" s="25" t="str">
        <f ca="1">IFERROR(__xludf.DUMMYFUNCTION("""COMPUTED_VALUE"""),"দিপক দেব নাথ     ১৭৩৮৩৮৫৮১৯")</f>
        <v>দিপক দেব নাথ     ১৭৩৮৩৮৫৮১৯</v>
      </c>
      <c r="I110" s="25"/>
    </row>
    <row r="111" spans="1:9" ht="16.5" customHeight="1" x14ac:dyDescent="0.15">
      <c r="A111" s="21">
        <f ca="1">IFERROR(__xludf.DUMMYFUNCTION("""COMPUTED_VALUE"""),105)</f>
        <v>105</v>
      </c>
      <c r="B111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1" s="21">
        <f ca="1">IFERROR(__xludf.DUMMYFUNCTION("""COMPUTED_VALUE"""),5)</f>
        <v>5</v>
      </c>
      <c r="E111" s="21" t="str">
        <f ca="1">IFERROR(__xludf.DUMMYFUNCTION("""COMPUTED_VALUE"""),"25.42813-89.77142")</f>
        <v>25.42813-89.77142</v>
      </c>
      <c r="F111" s="21" t="str">
        <f ca="1">IFERROR(__xludf.DUMMYFUNCTION("""COMPUTED_VALUE"""),"মোছাঃ জবেদা বেগম  ০১৫১৯৬০৬০১০")</f>
        <v>মোছাঃ জবেদা বেগম  ০১৫১৯৬০৬০১০</v>
      </c>
      <c r="G111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1" s="21" t="str">
        <f ca="1">IFERROR(__xludf.DUMMYFUNCTION("""COMPUTED_VALUE"""),"দিপক দেব নাথ     ১৭৩৮৩৮৫৮১৯")</f>
        <v>দিপক দেব নাথ     ১৭৩৮৩৮৫৮১৯</v>
      </c>
      <c r="I111" s="21"/>
    </row>
    <row r="112" spans="1:9" ht="16.5" customHeight="1" x14ac:dyDescent="0.15">
      <c r="A112" s="25">
        <f ca="1">IFERROR(__xludf.DUMMYFUNCTION("""COMPUTED_VALUE"""),106)</f>
        <v>106</v>
      </c>
      <c r="B112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2" s="25">
        <f ca="1">IFERROR(__xludf.DUMMYFUNCTION("""COMPUTED_VALUE"""),5)</f>
        <v>5</v>
      </c>
      <c r="E112" s="25" t="str">
        <f ca="1">IFERROR(__xludf.DUMMYFUNCTION("""COMPUTED_VALUE"""),"25.42876-89.77143")</f>
        <v>25.42876-89.77143</v>
      </c>
      <c r="F112" s="25" t="str">
        <f ca="1">IFERROR(__xludf.DUMMYFUNCTION("""COMPUTED_VALUE"""),"মোঃ আকরাম হোসেন  ০১৫১৯৬০৬০১০")</f>
        <v>মোঃ আকরাম হোসেন  ০১৫১৯৬০৬০১০</v>
      </c>
      <c r="G112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2" s="25" t="str">
        <f ca="1">IFERROR(__xludf.DUMMYFUNCTION("""COMPUTED_VALUE"""),"দিপক দেব নাথ     ১৭৩৮৩৮৫৮১৯")</f>
        <v>দিপক দেব নাথ     ১৭৩৮৩৮৫৮১৯</v>
      </c>
      <c r="I112" s="25"/>
    </row>
    <row r="113" spans="1:9" ht="16.5" customHeight="1" x14ac:dyDescent="0.15">
      <c r="A113" s="21">
        <f ca="1">IFERROR(__xludf.DUMMYFUNCTION("""COMPUTED_VALUE"""),107)</f>
        <v>107</v>
      </c>
      <c r="B113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3" s="21">
        <f ca="1">IFERROR(__xludf.DUMMYFUNCTION("""COMPUTED_VALUE"""),5)</f>
        <v>5</v>
      </c>
      <c r="E113" s="21" t="str">
        <f ca="1">IFERROR(__xludf.DUMMYFUNCTION("""COMPUTED_VALUE"""),"25.42284-89.77108")</f>
        <v>25.42284-89.77108</v>
      </c>
      <c r="F113" s="21" t="str">
        <f ca="1">IFERROR(__xludf.DUMMYFUNCTION("""COMPUTED_VALUE"""),"মোঃ হাফিজুর   ০১৯৩৪৭৮৮৯৩৪")</f>
        <v>মোঃ হাফিজুর   ০১৯৩৪৭৮৮৯৩৪</v>
      </c>
      <c r="G113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3" s="21" t="str">
        <f ca="1">IFERROR(__xludf.DUMMYFUNCTION("""COMPUTED_VALUE"""),"দিপক দেব নাথ     ১৭৩৮৩৮৫৮১৯")</f>
        <v>দিপক দেব নাথ     ১৭৩৮৩৮৫৮১৯</v>
      </c>
      <c r="I113" s="21"/>
    </row>
    <row r="114" spans="1:9" ht="16.5" customHeight="1" x14ac:dyDescent="0.15">
      <c r="A114" s="25">
        <f ca="1">IFERROR(__xludf.DUMMYFUNCTION("""COMPUTED_VALUE"""),108)</f>
        <v>108</v>
      </c>
      <c r="B114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4" s="25">
        <f ca="1">IFERROR(__xludf.DUMMYFUNCTION("""COMPUTED_VALUE"""),5)</f>
        <v>5</v>
      </c>
      <c r="E114" s="25" t="str">
        <f ca="1">IFERROR(__xludf.DUMMYFUNCTION("""COMPUTED_VALUE"""),"25.4298-89.77101")</f>
        <v>25.4298-89.77101</v>
      </c>
      <c r="F114" s="25" t="str">
        <f ca="1">IFERROR(__xludf.DUMMYFUNCTION("""COMPUTED_VALUE"""),"মোঃ শফিকুল ইসলাম  ০১৭৮১১৭৫৫৬৫")</f>
        <v>মোঃ শফিকুল ইসলাম  ০১৭৮১১৭৫৫৬৫</v>
      </c>
      <c r="G114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4" s="25" t="str">
        <f ca="1">IFERROR(__xludf.DUMMYFUNCTION("""COMPUTED_VALUE"""),"দিপক দেব নাথ     ১৭৩৮৩৮৫৮১৯")</f>
        <v>দিপক দেব নাথ     ১৭৩৮৩৮৫৮১৯</v>
      </c>
      <c r="I114" s="25"/>
    </row>
    <row r="115" spans="1:9" ht="16.5" customHeight="1" x14ac:dyDescent="0.15">
      <c r="A115" s="21">
        <f ca="1">IFERROR(__xludf.DUMMYFUNCTION("""COMPUTED_VALUE"""),109)</f>
        <v>109</v>
      </c>
      <c r="B115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5" s="21">
        <f ca="1">IFERROR(__xludf.DUMMYFUNCTION("""COMPUTED_VALUE"""),5)</f>
        <v>5</v>
      </c>
      <c r="E115" s="21" t="str">
        <f ca="1">IFERROR(__xludf.DUMMYFUNCTION("""COMPUTED_VALUE"""),"25.42669-89.77173")</f>
        <v>25.42669-89.77173</v>
      </c>
      <c r="F115" s="21" t="str">
        <f ca="1">IFERROR(__xludf.DUMMYFUNCTION("""COMPUTED_VALUE"""),"মোঃ অছিউজ্জামান  ০১৪০৬২১৭৭৭১")</f>
        <v>মোঃ অছিউজ্জামান  ০১৪০৬২১৭৭৭১</v>
      </c>
      <c r="G115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5" s="21" t="str">
        <f ca="1">IFERROR(__xludf.DUMMYFUNCTION("""COMPUTED_VALUE"""),"দিপক দেব নাথ     ১৭৩৮৩৮৫৮১৯")</f>
        <v>দিপক দেব নাথ     ১৭৩৮৩৮৫৮১৯</v>
      </c>
      <c r="I115" s="21"/>
    </row>
    <row r="116" spans="1:9" ht="16.5" customHeight="1" x14ac:dyDescent="0.15">
      <c r="A116" s="25">
        <f ca="1">IFERROR(__xludf.DUMMYFUNCTION("""COMPUTED_VALUE"""),110)</f>
        <v>110</v>
      </c>
      <c r="B116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6" s="25">
        <f ca="1">IFERROR(__xludf.DUMMYFUNCTION("""COMPUTED_VALUE"""),5)</f>
        <v>5</v>
      </c>
      <c r="E116" s="25" t="str">
        <f ca="1">IFERROR(__xludf.DUMMYFUNCTION("""COMPUTED_VALUE"""),"25.42811-89.77108")</f>
        <v>25.42811-89.77108</v>
      </c>
      <c r="F116" s="25" t="str">
        <f ca="1">IFERROR(__xludf.DUMMYFUNCTION("""COMPUTED_VALUE"""),"মোছাঃ তানজিনা খাতুন  ০১৬৪৫৭৫০৪০৭")</f>
        <v>মোছাঃ তানজিনা খাতুন  ০১৬৪৫৭৫০৪০৭</v>
      </c>
      <c r="G116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6" s="25" t="str">
        <f ca="1">IFERROR(__xludf.DUMMYFUNCTION("""COMPUTED_VALUE"""),"দিপক দেব নাথ     ১৭৩৮৩৮৫৮১৯")</f>
        <v>দিপক দেব নাথ     ১৭৩৮৩৮৫৮১৯</v>
      </c>
      <c r="I116" s="25"/>
    </row>
    <row r="117" spans="1:9" ht="16.5" customHeight="1" x14ac:dyDescent="0.15">
      <c r="A117" s="21">
        <f ca="1">IFERROR(__xludf.DUMMYFUNCTION("""COMPUTED_VALUE"""),111)</f>
        <v>111</v>
      </c>
      <c r="B117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7" s="21">
        <f ca="1">IFERROR(__xludf.DUMMYFUNCTION("""COMPUTED_VALUE"""),5)</f>
        <v>5</v>
      </c>
      <c r="E117" s="21" t="str">
        <f ca="1">IFERROR(__xludf.DUMMYFUNCTION("""COMPUTED_VALUE"""),"25.42482-89.76615")</f>
        <v>25.42482-89.76615</v>
      </c>
      <c r="F117" s="21" t="str">
        <f ca="1">IFERROR(__xludf.DUMMYFUNCTION("""COMPUTED_VALUE"""),"মোছাঃ আসমাউল হুসনা  ০১৭০৫১০৫৩৪৬")</f>
        <v>মোছাঃ আসমাউল হুসনা  ০১৭০৫১০৫৩৪৬</v>
      </c>
      <c r="G11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7" s="21" t="str">
        <f ca="1">IFERROR(__xludf.DUMMYFUNCTION("""COMPUTED_VALUE"""),"দিপক দেব নাথ     ১৭৩৮৩৮৫৮১৯")</f>
        <v>দিপক দেব নাথ     ১৭৩৮৩৮৫৮১৯</v>
      </c>
      <c r="I117" s="21"/>
    </row>
    <row r="118" spans="1:9" ht="16.5" customHeight="1" x14ac:dyDescent="0.15">
      <c r="A118" s="25">
        <f ca="1">IFERROR(__xludf.DUMMYFUNCTION("""COMPUTED_VALUE"""),112)</f>
        <v>112</v>
      </c>
      <c r="B11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1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8" s="25">
        <f ca="1">IFERROR(__xludf.DUMMYFUNCTION("""COMPUTED_VALUE"""),5)</f>
        <v>5</v>
      </c>
      <c r="E118" s="25" t="str">
        <f ca="1">IFERROR(__xludf.DUMMYFUNCTION("""COMPUTED_VALUE"""),"25.42489-89.76602")</f>
        <v>25.42489-89.76602</v>
      </c>
      <c r="F118" s="25" t="str">
        <f ca="1">IFERROR(__xludf.DUMMYFUNCTION("""COMPUTED_VALUE"""),"মোঃ সিরাজ উদ্দৌল্লা ০১৭০৬১০৫৩৪৬")</f>
        <v>মোঃ সিরাজ উদ্দৌল্লা ০১৭০৬১০৫৩৪৬</v>
      </c>
      <c r="G118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18" s="25" t="str">
        <f ca="1">IFERROR(__xludf.DUMMYFUNCTION("""COMPUTED_VALUE"""),"দিপক দেব নাথ     ১৭৩৮৩৮৫৮১৯")</f>
        <v>দিপক দেব নাথ     ১৭৩৮৩৮৫৮১৯</v>
      </c>
      <c r="I118" s="25"/>
    </row>
    <row r="119" spans="1:9" ht="16.5" customHeight="1" x14ac:dyDescent="0.15">
      <c r="A119" s="21">
        <f ca="1">IFERROR(__xludf.DUMMYFUNCTION("""COMPUTED_VALUE"""),113)</f>
        <v>113</v>
      </c>
      <c r="B11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1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9" s="21">
        <f ca="1">IFERROR(__xludf.DUMMYFUNCTION("""COMPUTED_VALUE"""),5)</f>
        <v>5</v>
      </c>
      <c r="E119" s="21" t="str">
        <f ca="1">IFERROR(__xludf.DUMMYFUNCTION("""COMPUTED_VALUE"""),"25.4275-89.76555")</f>
        <v>25.4275-89.76555</v>
      </c>
      <c r="F119" s="21" t="str">
        <f ca="1">IFERROR(__xludf.DUMMYFUNCTION("""COMPUTED_VALUE"""),"মোঃ মেহের চান  ০১৯১৭৬৮৩৯৫")</f>
        <v>মোঃ মেহের চান  ০১৯১৭৬৮৩৯৫</v>
      </c>
      <c r="G119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19" s="21" t="str">
        <f ca="1">IFERROR(__xludf.DUMMYFUNCTION("""COMPUTED_VALUE"""),"দিপক দেব নাথ     ১৭৩৮৩৮৫৮১৯")</f>
        <v>দিপক দেব নাথ     ১৭৩৮৩৮৫৮১৯</v>
      </c>
      <c r="I119" s="21"/>
    </row>
    <row r="120" spans="1:9" ht="16.5" customHeight="1" x14ac:dyDescent="0.15">
      <c r="A120" s="25">
        <f ca="1">IFERROR(__xludf.DUMMYFUNCTION("""COMPUTED_VALUE"""),114)</f>
        <v>114</v>
      </c>
      <c r="B120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0" s="25">
        <f ca="1">IFERROR(__xludf.DUMMYFUNCTION("""COMPUTED_VALUE"""),5)</f>
        <v>5</v>
      </c>
      <c r="E120" s="25" t="str">
        <f ca="1">IFERROR(__xludf.DUMMYFUNCTION("""COMPUTED_VALUE"""),"25.42747-89.7655")</f>
        <v>25.42747-89.7655</v>
      </c>
      <c r="F120" s="25" t="str">
        <f ca="1">IFERROR(__xludf.DUMMYFUNCTION("""COMPUTED_VALUE"""),"মোঃ মাইদুল ইসলাম ০১৯১৭৬৮৩০৯৫")</f>
        <v>মোঃ মাইদুল ইসলাম ০১৯১৭৬৮৩০৯৫</v>
      </c>
      <c r="G120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0" s="25" t="str">
        <f ca="1">IFERROR(__xludf.DUMMYFUNCTION("""COMPUTED_VALUE"""),"দিপক দেব নাথ     ১৭৩৮৩৮৫৮১৯")</f>
        <v>দিপক দেব নাথ     ১৭৩৮৩৮৫৮১৯</v>
      </c>
      <c r="I120" s="25"/>
    </row>
    <row r="121" spans="1:9" ht="16.5" customHeight="1" x14ac:dyDescent="0.15">
      <c r="A121" s="21">
        <f ca="1">IFERROR(__xludf.DUMMYFUNCTION("""COMPUTED_VALUE"""),115)</f>
        <v>115</v>
      </c>
      <c r="B121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1" s="21">
        <f ca="1">IFERROR(__xludf.DUMMYFUNCTION("""COMPUTED_VALUE"""),5)</f>
        <v>5</v>
      </c>
      <c r="E121" s="21" t="str">
        <f ca="1">IFERROR(__xludf.DUMMYFUNCTION("""COMPUTED_VALUE"""),"25.42533-89.76436")</f>
        <v>25.42533-89.76436</v>
      </c>
      <c r="F121" s="21" t="str">
        <f ca="1">IFERROR(__xludf.DUMMYFUNCTION("""COMPUTED_VALUE"""),"মোঃ রবিউল ইসলাম  ০১৬০৮০৯৯২৮৭")</f>
        <v>মোঃ রবিউল ইসলাম  ০১৬০৮০৯৯২৮৭</v>
      </c>
      <c r="G121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1" s="21" t="str">
        <f ca="1">IFERROR(__xludf.DUMMYFUNCTION("""COMPUTED_VALUE"""),"দিপক দেব নাথ     ১৭৩৮৩৮৫৮১৯")</f>
        <v>দিপক দেব নাথ     ১৭৩৮৩৮৫৮১৯</v>
      </c>
      <c r="I121" s="21"/>
    </row>
    <row r="122" spans="1:9" ht="16.5" customHeight="1" x14ac:dyDescent="0.15">
      <c r="A122" s="25">
        <f ca="1">IFERROR(__xludf.DUMMYFUNCTION("""COMPUTED_VALUE"""),116)</f>
        <v>116</v>
      </c>
      <c r="B122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2" s="25">
        <f ca="1">IFERROR(__xludf.DUMMYFUNCTION("""COMPUTED_VALUE"""),5)</f>
        <v>5</v>
      </c>
      <c r="E122" s="25" t="str">
        <f ca="1">IFERROR(__xludf.DUMMYFUNCTION("""COMPUTED_VALUE"""),"25.42502-89.76367")</f>
        <v>25.42502-89.76367</v>
      </c>
      <c r="F122" s="25" t="str">
        <f ca="1">IFERROR(__xludf.DUMMYFUNCTION("""COMPUTED_VALUE"""),"মোছাঃ রুপালী বেগম  ০১৬০৮০৯৯২৮০")</f>
        <v>মোছাঃ রুপালী বেগম  ০১৬০৮০৯৯২৮০</v>
      </c>
      <c r="G122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2" s="25" t="str">
        <f ca="1">IFERROR(__xludf.DUMMYFUNCTION("""COMPUTED_VALUE"""),"দিপক দেব নাথ     ১৭৩৮৩৮৫৮১৯")</f>
        <v>দিপক দেব নাথ     ১৭৩৮৩৮৫৮১৯</v>
      </c>
      <c r="I122" s="25"/>
    </row>
    <row r="123" spans="1:9" ht="16.5" customHeight="1" x14ac:dyDescent="0.15">
      <c r="A123" s="21">
        <f ca="1">IFERROR(__xludf.DUMMYFUNCTION("""COMPUTED_VALUE"""),117)</f>
        <v>117</v>
      </c>
      <c r="B123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3" s="21">
        <f ca="1">IFERROR(__xludf.DUMMYFUNCTION("""COMPUTED_VALUE"""),5)</f>
        <v>5</v>
      </c>
      <c r="E123" s="21" t="str">
        <f ca="1">IFERROR(__xludf.DUMMYFUNCTION("""COMPUTED_VALUE"""),"25.426060-8976383")</f>
        <v>25.426060-8976383</v>
      </c>
      <c r="F123" s="21" t="str">
        <f ca="1">IFERROR(__xludf.DUMMYFUNCTION("""COMPUTED_VALUE"""),"মোছাঃ মনির মিয়া ০১৮৫৯৭৯৩৮৩১")</f>
        <v>মোছাঃ মনির মিয়া ০১৮৫৯৭৯৩৮৩১</v>
      </c>
      <c r="G123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3" s="21" t="str">
        <f ca="1">IFERROR(__xludf.DUMMYFUNCTION("""COMPUTED_VALUE"""),"দিপক দেব নাথ     ১৭৩৮৩৮৫৮১৯")</f>
        <v>দিপক দেব নাথ     ১৭৩৮৩৮৫৮১৯</v>
      </c>
      <c r="I123" s="21"/>
    </row>
    <row r="124" spans="1:9" ht="16.5" customHeight="1" x14ac:dyDescent="0.15">
      <c r="A124" s="25">
        <f ca="1">IFERROR(__xludf.DUMMYFUNCTION("""COMPUTED_VALUE"""),118)</f>
        <v>118</v>
      </c>
      <c r="B124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4" s="25">
        <f ca="1">IFERROR(__xludf.DUMMYFUNCTION("""COMPUTED_VALUE"""),5)</f>
        <v>5</v>
      </c>
      <c r="E124" s="25" t="str">
        <f ca="1">IFERROR(__xludf.DUMMYFUNCTION("""COMPUTED_VALUE"""),"25.403302-89.736597")</f>
        <v>25.403302-89.736597</v>
      </c>
      <c r="F124" s="25" t="str">
        <f ca="1">IFERROR(__xludf.DUMMYFUNCTION("""COMPUTED_VALUE"""),"মোঃ আনোয়ার হোসেন  ০১৯৮৩৭৯৫৪২৯")</f>
        <v>মোঃ আনোয়ার হোসেন  ০১৯৮৩৭৯৫৪২৯</v>
      </c>
      <c r="G124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4" s="25" t="str">
        <f ca="1">IFERROR(__xludf.DUMMYFUNCTION("""COMPUTED_VALUE"""),"দিপক দেব নাথ     ১৭৩৮৩৮৫৮১৯")</f>
        <v>দিপক দেব নাথ     ১৭৩৮৩৮৫৮১৯</v>
      </c>
      <c r="I124" s="25"/>
    </row>
    <row r="125" spans="1:9" ht="16.5" customHeight="1" x14ac:dyDescent="0.15">
      <c r="A125" s="21">
        <f ca="1">IFERROR(__xludf.DUMMYFUNCTION("""COMPUTED_VALUE"""),119)</f>
        <v>119</v>
      </c>
      <c r="B125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5" s="21">
        <f ca="1">IFERROR(__xludf.DUMMYFUNCTION("""COMPUTED_VALUE"""),5)</f>
        <v>5</v>
      </c>
      <c r="E125" s="21" t="str">
        <f ca="1">IFERROR(__xludf.DUMMYFUNCTION("""COMPUTED_VALUE"""),"25.403302-89.736597")</f>
        <v>25.403302-89.736597</v>
      </c>
      <c r="F125" s="21" t="str">
        <f ca="1">IFERROR(__xludf.DUMMYFUNCTION("""COMPUTED_VALUE"""),"মোঃ শাবলু মিয়া  ০১৩২২১৪৮৩২২")</f>
        <v>মোঃ শাবলু মিয়া  ০১৩২২১৪৮৩২২</v>
      </c>
      <c r="G125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5" s="21" t="str">
        <f ca="1">IFERROR(__xludf.DUMMYFUNCTION("""COMPUTED_VALUE"""),"দিপক দেব নাথ     ১৭৩৮৩৮৫৮১৯")</f>
        <v>দিপক দেব নাথ     ১৭৩৮৩৮৫৮১৯</v>
      </c>
      <c r="I125" s="21"/>
    </row>
    <row r="126" spans="1:9" ht="16.5" customHeight="1" x14ac:dyDescent="0.15">
      <c r="A126" s="25">
        <f ca="1">IFERROR(__xludf.DUMMYFUNCTION("""COMPUTED_VALUE"""),120)</f>
        <v>120</v>
      </c>
      <c r="B126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6" s="25">
        <f ca="1">IFERROR(__xludf.DUMMYFUNCTION("""COMPUTED_VALUE"""),5)</f>
        <v>5</v>
      </c>
      <c r="E126" s="25" t="str">
        <f ca="1">IFERROR(__xludf.DUMMYFUNCTION("""COMPUTED_VALUE"""),"25.403302-89.736597")</f>
        <v>25.403302-89.736597</v>
      </c>
      <c r="F126" s="25" t="str">
        <f ca="1">IFERROR(__xludf.DUMMYFUNCTION("""COMPUTED_VALUE"""),"মোঃ আয়নাল হক  ০১৮৭৪৫৮২৫৩৪")</f>
        <v>মোঃ আয়নাল হক  ০১৮৭৪৫৮২৫৩৪</v>
      </c>
      <c r="G126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6" s="25" t="str">
        <f ca="1">IFERROR(__xludf.DUMMYFUNCTION("""COMPUTED_VALUE"""),"দিপক দেব নাথ     ১৭৩৮৩৮৫৮১৯")</f>
        <v>দিপক দেব নাথ     ১৭৩৮৩৮৫৮১৯</v>
      </c>
      <c r="I126" s="25"/>
    </row>
    <row r="127" spans="1:9" ht="16.5" customHeight="1" x14ac:dyDescent="0.15">
      <c r="A127" s="21">
        <f ca="1">IFERROR(__xludf.DUMMYFUNCTION("""COMPUTED_VALUE"""),121)</f>
        <v>121</v>
      </c>
      <c r="B127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7" s="21">
        <f ca="1">IFERROR(__xludf.DUMMYFUNCTION("""COMPUTED_VALUE"""),5)</f>
        <v>5</v>
      </c>
      <c r="E127" s="21" t="str">
        <f ca="1">IFERROR(__xludf.DUMMYFUNCTION("""COMPUTED_VALUE"""),"25.4249-89.77169")</f>
        <v>25.4249-89.77169</v>
      </c>
      <c r="F127" s="21" t="str">
        <f ca="1">IFERROR(__xludf.DUMMYFUNCTION("""COMPUTED_VALUE"""),"মোছাঃ নুরুন্নাহার বেগম ০১৯৯৭৪৩৭৪৪২")</f>
        <v>মোছাঃ নুরুন্নাহার বেগম ০১৯৯৭৪৩৭৪৪২</v>
      </c>
      <c r="G127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7" s="21" t="str">
        <f ca="1">IFERROR(__xludf.DUMMYFUNCTION("""COMPUTED_VALUE"""),"দিপক দেব নাথ     ১৭৩৮৩৮৫৮১৯")</f>
        <v>দিপক দেব নাথ     ১৭৩৮৩৮৫৮১৯</v>
      </c>
      <c r="I127" s="21"/>
    </row>
    <row r="128" spans="1:9" ht="16.5" customHeight="1" x14ac:dyDescent="0.15">
      <c r="A128" s="25">
        <f ca="1">IFERROR(__xludf.DUMMYFUNCTION("""COMPUTED_VALUE"""),122)</f>
        <v>122</v>
      </c>
      <c r="B12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8" s="25">
        <f ca="1">IFERROR(__xludf.DUMMYFUNCTION("""COMPUTED_VALUE"""),5)</f>
        <v>5</v>
      </c>
      <c r="E128" s="25" t="str">
        <f ca="1">IFERROR(__xludf.DUMMYFUNCTION("""COMPUTED_VALUE"""),"25.42515-89.77137")</f>
        <v>25.42515-89.77137</v>
      </c>
      <c r="F128" s="25" t="str">
        <f ca="1">IFERROR(__xludf.DUMMYFUNCTION("""COMPUTED_VALUE"""),"মোছাঃ নাছিমা খাতুন ০১৮১০৭০৭৬২৬")</f>
        <v>মোছাঃ নাছিমা খাতুন ০১৮১০৭০৭৬২৬</v>
      </c>
      <c r="G128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8" s="25" t="str">
        <f ca="1">IFERROR(__xludf.DUMMYFUNCTION("""COMPUTED_VALUE"""),"দিপক দেব নাথ     ১৭৩৮৩৮৫৮১৯")</f>
        <v>দিপক দেব নাথ     ১৭৩৮৩৮৫৮১৯</v>
      </c>
      <c r="I128" s="25"/>
    </row>
    <row r="129" spans="1:9" ht="16.5" customHeight="1" x14ac:dyDescent="0.15">
      <c r="A129" s="21">
        <f ca="1">IFERROR(__xludf.DUMMYFUNCTION("""COMPUTED_VALUE"""),123)</f>
        <v>123</v>
      </c>
      <c r="B12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9" s="21">
        <f ca="1">IFERROR(__xludf.DUMMYFUNCTION("""COMPUTED_VALUE"""),5)</f>
        <v>5</v>
      </c>
      <c r="E129" s="21" t="str">
        <f ca="1">IFERROR(__xludf.DUMMYFUNCTION("""COMPUTED_VALUE"""),"25.42481-89.77102")</f>
        <v>25.42481-89.77102</v>
      </c>
      <c r="F129" s="21" t="str">
        <f ca="1">IFERROR(__xludf.DUMMYFUNCTION("""COMPUTED_VALUE"""),"মোঃ আব্দুল আজিজ ০১৬১০৩২৯১৫৪")</f>
        <v>মোঃ আব্দুল আজিজ ০১৬১০৩২৯১৫৪</v>
      </c>
      <c r="G129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9" s="21" t="str">
        <f ca="1">IFERROR(__xludf.DUMMYFUNCTION("""COMPUTED_VALUE"""),"দিপক দেব নাথ     ১৭৩৮৩৮৫৮১৯")</f>
        <v>দিপক দেব নাথ     ১৭৩৮৩৮৫৮১৯</v>
      </c>
      <c r="I129" s="21"/>
    </row>
    <row r="130" spans="1:9" ht="16.5" customHeight="1" x14ac:dyDescent="0.15">
      <c r="A130" s="25">
        <f ca="1">IFERROR(__xludf.DUMMYFUNCTION("""COMPUTED_VALUE"""),124)</f>
        <v>124</v>
      </c>
      <c r="B130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0" s="25">
        <f ca="1">IFERROR(__xludf.DUMMYFUNCTION("""COMPUTED_VALUE"""),5)</f>
        <v>5</v>
      </c>
      <c r="E130" s="25" t="str">
        <f ca="1">IFERROR(__xludf.DUMMYFUNCTION("""COMPUTED_VALUE"""),"25.4285-89.77186")</f>
        <v>25.4285-89.77186</v>
      </c>
      <c r="F130" s="25" t="str">
        <f ca="1">IFERROR(__xludf.DUMMYFUNCTION("""COMPUTED_VALUE"""),"মোঃ মতিউর রহমান ০১৯৩৭১৭৭৯৫২")</f>
        <v>মোঃ মতিউর রহমান ০১৯৩৭১৭৭৯৫২</v>
      </c>
      <c r="G130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0" s="25" t="str">
        <f ca="1">IFERROR(__xludf.DUMMYFUNCTION("""COMPUTED_VALUE"""),"দিপক দেব নাথ     ১৭৩৮৩৮৫৮১৯")</f>
        <v>দিপক দেব নাথ     ১৭৩৮৩৮৫৮১৯</v>
      </c>
      <c r="I130" s="25"/>
    </row>
    <row r="131" spans="1:9" ht="16.5" customHeight="1" x14ac:dyDescent="0.15">
      <c r="A131" s="21">
        <f ca="1">IFERROR(__xludf.DUMMYFUNCTION("""COMPUTED_VALUE"""),125)</f>
        <v>125</v>
      </c>
      <c r="B131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1" s="21">
        <f ca="1">IFERROR(__xludf.DUMMYFUNCTION("""COMPUTED_VALUE"""),5)</f>
        <v>5</v>
      </c>
      <c r="E131" s="21" t="str">
        <f ca="1">IFERROR(__xludf.DUMMYFUNCTION("""COMPUTED_VALUE"""),"25.42492-89.77183")</f>
        <v>25.42492-89.77183</v>
      </c>
      <c r="F131" s="21" t="str">
        <f ca="1">IFERROR(__xludf.DUMMYFUNCTION("""COMPUTED_VALUE"""),"মোঃ মিজানুর রহমান  ০১৯১৩৮৪৫২৫৩")</f>
        <v>মোঃ মিজানুর রহমান  ০১৯১৩৮৪৫২৫৩</v>
      </c>
      <c r="G131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1" s="21" t="str">
        <f ca="1">IFERROR(__xludf.DUMMYFUNCTION("""COMPUTED_VALUE"""),"দিপক দেব নাথ     ১৭৩৮৩৮৫৮১৯")</f>
        <v>দিপক দেব নাথ     ১৭৩৮৩৮৫৮১৯</v>
      </c>
      <c r="I131" s="21"/>
    </row>
    <row r="132" spans="1:9" ht="16.5" customHeight="1" x14ac:dyDescent="0.15">
      <c r="A132" s="25">
        <f ca="1">IFERROR(__xludf.DUMMYFUNCTION("""COMPUTED_VALUE"""),126)</f>
        <v>126</v>
      </c>
      <c r="B132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2" s="25">
        <f ca="1">IFERROR(__xludf.DUMMYFUNCTION("""COMPUTED_VALUE"""),5)</f>
        <v>5</v>
      </c>
      <c r="E132" s="25" t="str">
        <f ca="1">IFERROR(__xludf.DUMMYFUNCTION("""COMPUTED_VALUE"""),"25.46405-89.77541")</f>
        <v>25.46405-89.77541</v>
      </c>
      <c r="F132" s="25" t="str">
        <f ca="1">IFERROR(__xludf.DUMMYFUNCTION("""COMPUTED_VALUE"""),"মোঃ হাসানুল হক  ০১৮৬৪৮৬৮৬৫৮")</f>
        <v>মোঃ হাসানুল হক  ০১৮৬৪৮৬৮৬৫৮</v>
      </c>
      <c r="G132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2" s="25" t="str">
        <f ca="1">IFERROR(__xludf.DUMMYFUNCTION("""COMPUTED_VALUE"""),"দিপক দেব নাথ     ১৭৩৮৩৮৫৮১৯")</f>
        <v>দিপক দেব নাথ     ১৭৩৮৩৮৫৮১৯</v>
      </c>
      <c r="I132" s="25"/>
    </row>
    <row r="133" spans="1:9" ht="16.5" customHeight="1" x14ac:dyDescent="0.15">
      <c r="A133" s="21">
        <f ca="1">IFERROR(__xludf.DUMMYFUNCTION("""COMPUTED_VALUE"""),127)</f>
        <v>127</v>
      </c>
      <c r="B133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3" s="21">
        <f ca="1">IFERROR(__xludf.DUMMYFUNCTION("""COMPUTED_VALUE"""),5)</f>
        <v>5</v>
      </c>
      <c r="E133" s="21" t="str">
        <f ca="1">IFERROR(__xludf.DUMMYFUNCTION("""COMPUTED_VALUE"""),"25.463507-89.77526")</f>
        <v>25.463507-89.77526</v>
      </c>
      <c r="F133" s="21" t="str">
        <f ca="1">IFERROR(__xludf.DUMMYFUNCTION("""COMPUTED_VALUE"""),"মোঃ সোরহাব হোসেন  ০১৯৩৫৬৭৫৮৬৮")</f>
        <v>মোঃ সোরহাব হোসেন  ০১৯৩৫৬৭৫৮৬৮</v>
      </c>
      <c r="G13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3" s="21" t="str">
        <f ca="1">IFERROR(__xludf.DUMMYFUNCTION("""COMPUTED_VALUE"""),"দিপক দেব নাথ     ১৭৩৮৩৮৫৮১৯")</f>
        <v>দিপক দেব নাথ     ১৭৩৮৩৮৫৮১৯</v>
      </c>
      <c r="I133" s="21"/>
    </row>
    <row r="134" spans="1:9" ht="16.5" customHeight="1" x14ac:dyDescent="0.15">
      <c r="A134" s="25">
        <f ca="1">IFERROR(__xludf.DUMMYFUNCTION("""COMPUTED_VALUE"""),128)</f>
        <v>128</v>
      </c>
      <c r="B134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4" s="25">
        <f ca="1">IFERROR(__xludf.DUMMYFUNCTION("""COMPUTED_VALUE"""),5)</f>
        <v>5</v>
      </c>
      <c r="E134" s="25" t="str">
        <f ca="1">IFERROR(__xludf.DUMMYFUNCTION("""COMPUTED_VALUE"""),"25.463459-89.775239")</f>
        <v>25.463459-89.775239</v>
      </c>
      <c r="F134" s="25" t="str">
        <f ca="1">IFERROR(__xludf.DUMMYFUNCTION("""COMPUTED_VALUE"""),"মোঃ নুর ইসলাম  ০১৯৩৮৫৬২৩৫৪")</f>
        <v>মোঃ নুর ইসলাম  ০১৯৩৮৫৬২৩৫৪</v>
      </c>
      <c r="G13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4" s="25" t="str">
        <f ca="1">IFERROR(__xludf.DUMMYFUNCTION("""COMPUTED_VALUE"""),"দিপক দেব নাথ     ১৭৩৮৩৮৫৮১৯")</f>
        <v>দিপক দেব নাথ     ১৭৩৮৩৮৫৮১৯</v>
      </c>
      <c r="I134" s="25"/>
    </row>
    <row r="135" spans="1:9" ht="16.5" customHeight="1" x14ac:dyDescent="0.15">
      <c r="A135" s="21">
        <f ca="1">IFERROR(__xludf.DUMMYFUNCTION("""COMPUTED_VALUE"""),129)</f>
        <v>129</v>
      </c>
      <c r="B135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5" s="21">
        <f ca="1">IFERROR(__xludf.DUMMYFUNCTION("""COMPUTED_VALUE"""),5)</f>
        <v>5</v>
      </c>
      <c r="E135" s="21" t="str">
        <f ca="1">IFERROR(__xludf.DUMMYFUNCTION("""COMPUTED_VALUE"""),"25.46319-89.77541")</f>
        <v>25.46319-89.77541</v>
      </c>
      <c r="F135" s="21" t="str">
        <f ca="1">IFERROR(__xludf.DUMMYFUNCTION("""COMPUTED_VALUE"""),"মোঃ ফুল মিয়া  ০১৮০৬০৪৮৯৯৯")</f>
        <v>মোঃ ফুল মিয়া  ০১৮০৬০৪৮৯৯৯</v>
      </c>
      <c r="G13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5" s="21" t="str">
        <f ca="1">IFERROR(__xludf.DUMMYFUNCTION("""COMPUTED_VALUE"""),"দিপক দেব নাথ     ১৭৩৮৩৮৫৮১৯")</f>
        <v>দিপক দেব নাথ     ১৭৩৮৩৮৫৮১৯</v>
      </c>
      <c r="I135" s="21"/>
    </row>
    <row r="136" spans="1:9" ht="16.5" customHeight="1" x14ac:dyDescent="0.15">
      <c r="A136" s="25">
        <f ca="1">IFERROR(__xludf.DUMMYFUNCTION("""COMPUTED_VALUE"""),130)</f>
        <v>130</v>
      </c>
      <c r="B136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6" s="25">
        <f ca="1">IFERROR(__xludf.DUMMYFUNCTION("""COMPUTED_VALUE"""),5)</f>
        <v>5</v>
      </c>
      <c r="E136" s="25" t="str">
        <f ca="1">IFERROR(__xludf.DUMMYFUNCTION("""COMPUTED_VALUE"""),"25.46288-89.77583")</f>
        <v>25.46288-89.77583</v>
      </c>
      <c r="F136" s="25" t="str">
        <f ca="1">IFERROR(__xludf.DUMMYFUNCTION("""COMPUTED_VALUE"""),"মোঃ এমদাদুল হক  ০১৬৪১৩৫৬৭৮৬")</f>
        <v>মোঃ এমদাদুল হক  ০১৬৪১৩৫৬৭৮৬</v>
      </c>
      <c r="G13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6" s="25" t="str">
        <f ca="1">IFERROR(__xludf.DUMMYFUNCTION("""COMPUTED_VALUE"""),"দিপক দেব নাথ     ১৭৩৮৩৮৫৮১৯")</f>
        <v>দিপক দেব নাথ     ১৭৩৮৩৮৫৮১৯</v>
      </c>
      <c r="I136" s="25"/>
    </row>
    <row r="137" spans="1:9" ht="16.5" customHeight="1" x14ac:dyDescent="0.15">
      <c r="A137" s="21">
        <f ca="1">IFERROR(__xludf.DUMMYFUNCTION("""COMPUTED_VALUE"""),131)</f>
        <v>131</v>
      </c>
      <c r="B137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7" s="21">
        <f ca="1">IFERROR(__xludf.DUMMYFUNCTION("""COMPUTED_VALUE"""),5)</f>
        <v>5</v>
      </c>
      <c r="E137" s="21" t="str">
        <f ca="1">IFERROR(__xludf.DUMMYFUNCTION("""COMPUTED_VALUE"""),"25.46053-89.77564")</f>
        <v>25.46053-89.77564</v>
      </c>
      <c r="F137" s="21" t="str">
        <f ca="1">IFERROR(__xludf.DUMMYFUNCTION("""COMPUTED_VALUE"""),"মোঃ হানিফ আলী  ০১৮৫৮৮৮১৮৬৭")</f>
        <v>মোঃ হানিফ আলী  ০১৮৫৮৮৮১৮৬৭</v>
      </c>
      <c r="G137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7" s="21" t="str">
        <f ca="1">IFERROR(__xludf.DUMMYFUNCTION("""COMPUTED_VALUE"""),"দিপক দেব নাথ     ১৭৩৮৩৮৫৮১৯")</f>
        <v>দিপক দেব নাথ     ১৭৩৮৩৮৫৮১৯</v>
      </c>
      <c r="I137" s="21"/>
    </row>
    <row r="138" spans="1:9" ht="16.5" customHeight="1" x14ac:dyDescent="0.15">
      <c r="A138" s="25">
        <f ca="1">IFERROR(__xludf.DUMMYFUNCTION("""COMPUTED_VALUE"""),132)</f>
        <v>132</v>
      </c>
      <c r="B138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8" s="25">
        <f ca="1">IFERROR(__xludf.DUMMYFUNCTION("""COMPUTED_VALUE"""),5)</f>
        <v>5</v>
      </c>
      <c r="E138" s="25" t="str">
        <f ca="1">IFERROR(__xludf.DUMMYFUNCTION("""COMPUTED_VALUE"""),"25.46114-89.77571")</f>
        <v>25.46114-89.77571</v>
      </c>
      <c r="F138" s="25" t="str">
        <f ca="1">IFERROR(__xludf.DUMMYFUNCTION("""COMPUTED_VALUE"""),"মোঃ হাবিবুর রহমান  ০১৮২৩২৯৮৮৩২")</f>
        <v>মোঃ হাবিবুর রহমান  ০১৮২৩২৯৮৮৩২</v>
      </c>
      <c r="G138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8" s="25" t="str">
        <f ca="1">IFERROR(__xludf.DUMMYFUNCTION("""COMPUTED_VALUE"""),"দিপক দেব নাথ     ১৭৩৮৩৮৫৮১৯")</f>
        <v>দিপক দেব নাথ     ১৭৩৮৩৮৫৮১৯</v>
      </c>
      <c r="I138" s="25"/>
    </row>
    <row r="139" spans="1:9" ht="16.5" customHeight="1" x14ac:dyDescent="0.15">
      <c r="A139" s="21">
        <f ca="1">IFERROR(__xludf.DUMMYFUNCTION("""COMPUTED_VALUE"""),133)</f>
        <v>133</v>
      </c>
      <c r="B139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9" s="21">
        <f ca="1">IFERROR(__xludf.DUMMYFUNCTION("""COMPUTED_VALUE"""),5)</f>
        <v>5</v>
      </c>
      <c r="E139" s="21" t="str">
        <f ca="1">IFERROR(__xludf.DUMMYFUNCTION("""COMPUTED_VALUE"""),"25.45605-89.7765")</f>
        <v>25.45605-89.7765</v>
      </c>
      <c r="F139" s="21" t="str">
        <f ca="1">IFERROR(__xludf.DUMMYFUNCTION("""COMPUTED_VALUE"""),"মোঃ আবুল হোসেন  ০১৬০৯২২১৭৩০")</f>
        <v>মোঃ আবুল হোসেন  ০১৬০৯২২১৭৩০</v>
      </c>
      <c r="G139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9" s="21" t="str">
        <f ca="1">IFERROR(__xludf.DUMMYFUNCTION("""COMPUTED_VALUE"""),"দিপক দেব নাথ     ১৭৩৮৩৮৫৮১৯")</f>
        <v>দিপক দেব নাথ     ১৭৩৮৩৮৫৮১৯</v>
      </c>
      <c r="I139" s="21"/>
    </row>
    <row r="140" spans="1:9" ht="16.5" customHeight="1" x14ac:dyDescent="0.15">
      <c r="A140" s="25">
        <f ca="1">IFERROR(__xludf.DUMMYFUNCTION("""COMPUTED_VALUE"""),134)</f>
        <v>134</v>
      </c>
      <c r="B140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0" s="25">
        <f ca="1">IFERROR(__xludf.DUMMYFUNCTION("""COMPUTED_VALUE"""),5)</f>
        <v>5</v>
      </c>
      <c r="E140" s="25" t="str">
        <f ca="1">IFERROR(__xludf.DUMMYFUNCTION("""COMPUTED_VALUE"""),"25.46129-89.77545")</f>
        <v>25.46129-89.77545</v>
      </c>
      <c r="F140" s="25" t="str">
        <f ca="1">IFERROR(__xludf.DUMMYFUNCTION("""COMPUTED_VALUE"""),"মোঃ আশরাফ আলী  ০১৬১১৩৬৫১৫৫")</f>
        <v>মোঃ আশরাফ আলী  ০১৬১১৩৬৫১৫৫</v>
      </c>
      <c r="G140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0" s="25" t="str">
        <f ca="1">IFERROR(__xludf.DUMMYFUNCTION("""COMPUTED_VALUE"""),"দিপক দেব নাথ     ১৭৩৮৩৮৫৮১৯")</f>
        <v>দিপক দেব নাথ     ১৭৩৮৩৮৫৮১৯</v>
      </c>
      <c r="I140" s="25"/>
    </row>
    <row r="141" spans="1:9" ht="16.5" customHeight="1" x14ac:dyDescent="0.15">
      <c r="A141" s="21">
        <f ca="1">IFERROR(__xludf.DUMMYFUNCTION("""COMPUTED_VALUE"""),135)</f>
        <v>135</v>
      </c>
      <c r="B141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1" s="21">
        <f ca="1">IFERROR(__xludf.DUMMYFUNCTION("""COMPUTED_VALUE"""),5)</f>
        <v>5</v>
      </c>
      <c r="E141" s="21" t="str">
        <f ca="1">IFERROR(__xludf.DUMMYFUNCTION("""COMPUTED_VALUE"""),"25.47209-89.77721")</f>
        <v>25.47209-89.77721</v>
      </c>
      <c r="F141" s="21" t="str">
        <f ca="1">IFERROR(__xludf.DUMMYFUNCTION("""COMPUTED_VALUE"""),"মোঃ সাইফুল ইসলাম ০১৯৬৯৫৯৬০৪৬")</f>
        <v>মোঃ সাইফুল ইসলাম ০১৯৬৯৫৯৬০৪৬</v>
      </c>
      <c r="G141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1" s="21" t="str">
        <f ca="1">IFERROR(__xludf.DUMMYFUNCTION("""COMPUTED_VALUE"""),"দিপক দেব নাথ     ১৭৩৮৩৮৫৮১৯")</f>
        <v>দিপক দেব নাথ     ১৭৩৮৩৮৫৮১৯</v>
      </c>
      <c r="I141" s="21"/>
    </row>
    <row r="142" spans="1:9" ht="16.5" customHeight="1" x14ac:dyDescent="0.15">
      <c r="A142" s="25">
        <f ca="1">IFERROR(__xludf.DUMMYFUNCTION("""COMPUTED_VALUE"""),136)</f>
        <v>136</v>
      </c>
      <c r="B142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2" s="25">
        <f ca="1">IFERROR(__xludf.DUMMYFUNCTION("""COMPUTED_VALUE"""),5)</f>
        <v>5</v>
      </c>
      <c r="E142" s="25" t="str">
        <f ca="1">IFERROR(__xludf.DUMMYFUNCTION("""COMPUTED_VALUE"""),"25.45789-89.76852")</f>
        <v>25.45789-89.76852</v>
      </c>
      <c r="F142" s="25" t="str">
        <f ca="1">IFERROR(__xludf.DUMMYFUNCTION("""COMPUTED_VALUE"""),"মোঃ ইকবাল হোসেন ০১৯৫৯৫৮৮৫৫৭")</f>
        <v>মোঃ ইকবাল হোসেন ০১৯৫৯৫৮৮৫৫৭</v>
      </c>
      <c r="G142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2" s="25" t="str">
        <f ca="1">IFERROR(__xludf.DUMMYFUNCTION("""COMPUTED_VALUE"""),"দিপক দেব নাথ     ১৭৩৮৩৮৫৮১৯")</f>
        <v>দিপক দেব নাথ     ১৭৩৮৩৮৫৮১৯</v>
      </c>
      <c r="I142" s="25"/>
    </row>
    <row r="143" spans="1:9" ht="16.5" customHeight="1" x14ac:dyDescent="0.15">
      <c r="A143" s="21">
        <f ca="1">IFERROR(__xludf.DUMMYFUNCTION("""COMPUTED_VALUE"""),137)</f>
        <v>137</v>
      </c>
      <c r="B143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3" s="21">
        <f ca="1">IFERROR(__xludf.DUMMYFUNCTION("""COMPUTED_VALUE"""),5)</f>
        <v>5</v>
      </c>
      <c r="E143" s="21" t="str">
        <f ca="1">IFERROR(__xludf.DUMMYFUNCTION("""COMPUTED_VALUE"""),"25.45807-89.767")</f>
        <v>25.45807-89.767</v>
      </c>
      <c r="F143" s="21" t="str">
        <f ca="1">IFERROR(__xludf.DUMMYFUNCTION("""COMPUTED_VALUE"""),"মোঃ শুক্কুর আলী ০১৯১৮৭৫৩২২০")</f>
        <v>মোঃ শুক্কুর আলী ০১৯১৮৭৫৩২২০</v>
      </c>
      <c r="G14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3" s="21" t="str">
        <f ca="1">IFERROR(__xludf.DUMMYFUNCTION("""COMPUTED_VALUE"""),"দিপক দেব নাথ     ১৭৩৮৩৮৫৮১৯")</f>
        <v>দিপক দেব নাথ     ১৭৩৮৩৮৫৮১৯</v>
      </c>
      <c r="I143" s="21"/>
    </row>
    <row r="144" spans="1:9" ht="16.5" customHeight="1" x14ac:dyDescent="0.15">
      <c r="A144" s="25">
        <f ca="1">IFERROR(__xludf.DUMMYFUNCTION("""COMPUTED_VALUE"""),138)</f>
        <v>138</v>
      </c>
      <c r="B144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4" s="25">
        <f ca="1">IFERROR(__xludf.DUMMYFUNCTION("""COMPUTED_VALUE"""),5)</f>
        <v>5</v>
      </c>
      <c r="E144" s="25" t="str">
        <f ca="1">IFERROR(__xludf.DUMMYFUNCTION("""COMPUTED_VALUE"""),"25.45833-89.7761")</f>
        <v>25.45833-89.7761</v>
      </c>
      <c r="F144" s="25" t="str">
        <f ca="1">IFERROR(__xludf.DUMMYFUNCTION("""COMPUTED_VALUE"""),"মোঃ জয়েন উদ্দিন  ০১৯৩১৮২৬৬৬৪")</f>
        <v>মোঃ জয়েন উদ্দিন  ০১৯৩১৮২৬৬৬৪</v>
      </c>
      <c r="G14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4" s="25" t="str">
        <f ca="1">IFERROR(__xludf.DUMMYFUNCTION("""COMPUTED_VALUE"""),"দিপক দেব নাথ     ১৭৩৮৩৮৫৮১৯")</f>
        <v>দিপক দেব নাথ     ১৭৩৮৩৮৫৮১৯</v>
      </c>
      <c r="I144" s="25"/>
    </row>
    <row r="145" spans="1:9" ht="16.5" customHeight="1" x14ac:dyDescent="0.15">
      <c r="A145" s="21">
        <f ca="1">IFERROR(__xludf.DUMMYFUNCTION("""COMPUTED_VALUE"""),139)</f>
        <v>139</v>
      </c>
      <c r="B145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5" s="21">
        <f ca="1">IFERROR(__xludf.DUMMYFUNCTION("""COMPUTED_VALUE"""),5)</f>
        <v>5</v>
      </c>
      <c r="E145" s="21" t="str">
        <f ca="1">IFERROR(__xludf.DUMMYFUNCTION("""COMPUTED_VALUE"""),"25.45583-89.76702")</f>
        <v>25.45583-89.76702</v>
      </c>
      <c r="F145" s="21" t="str">
        <f ca="1">IFERROR(__xludf.DUMMYFUNCTION("""COMPUTED_VALUE"""),"মোঃ জোসন আলী")</f>
        <v>মোঃ জোসন আলী</v>
      </c>
      <c r="G14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5" s="21" t="str">
        <f ca="1">IFERROR(__xludf.DUMMYFUNCTION("""COMPUTED_VALUE"""),"দিপক দেব নাথ     ১৭৩৮৩৮৫৮১৯")</f>
        <v>দিপক দেব নাথ     ১৭৩৮৩৮৫৮১৯</v>
      </c>
      <c r="I145" s="21"/>
    </row>
    <row r="146" spans="1:9" ht="16.5" customHeight="1" x14ac:dyDescent="0.15">
      <c r="A146" s="25">
        <f ca="1">IFERROR(__xludf.DUMMYFUNCTION("""COMPUTED_VALUE"""),140)</f>
        <v>140</v>
      </c>
      <c r="B146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6" s="25">
        <f ca="1">IFERROR(__xludf.DUMMYFUNCTION("""COMPUTED_VALUE"""),5)</f>
        <v>5</v>
      </c>
      <c r="E146" s="25" t="str">
        <f ca="1">IFERROR(__xludf.DUMMYFUNCTION("""COMPUTED_VALUE"""),"25.45522-89.76677")</f>
        <v>25.45522-89.76677</v>
      </c>
      <c r="F146" s="25" t="str">
        <f ca="1">IFERROR(__xludf.DUMMYFUNCTION("""COMPUTED_VALUE"""),"মোঃ আঃ মজিদ ০১৯১৮৪৮২১৯১৪৮")</f>
        <v>মোঃ আঃ মজিদ ০১৯১৮৪৮২১৯১৪৮</v>
      </c>
      <c r="G14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6" s="25" t="str">
        <f ca="1">IFERROR(__xludf.DUMMYFUNCTION("""COMPUTED_VALUE"""),"দিপক দেব নাথ     ১৭৩৮৩৮৫৮১৯")</f>
        <v>দিপক দেব নাথ     ১৭৩৮৩৮৫৮১৯</v>
      </c>
      <c r="I146" s="25"/>
    </row>
    <row r="147" spans="1:9" ht="16.5" customHeight="1" x14ac:dyDescent="0.15">
      <c r="A147" s="21">
        <f ca="1">IFERROR(__xludf.DUMMYFUNCTION("""COMPUTED_VALUE"""),141)</f>
        <v>141</v>
      </c>
      <c r="B147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7" s="21">
        <f ca="1">IFERROR(__xludf.DUMMYFUNCTION("""COMPUTED_VALUE"""),5)</f>
        <v>5</v>
      </c>
      <c r="E147" s="21" t="str">
        <f ca="1">IFERROR(__xludf.DUMMYFUNCTION("""COMPUTED_VALUE"""),"25.47167-89.77596")</f>
        <v>25.47167-89.77596</v>
      </c>
      <c r="F147" s="21" t="str">
        <f ca="1">IFERROR(__xludf.DUMMYFUNCTION("""COMPUTED_VALUE"""),"মোঃ হারুন মিয়া  ০১৬২৭০৪১৩১০")</f>
        <v>মোঃ হারুন মিয়া  ০১৬২৭০৪১৩১০</v>
      </c>
      <c r="G147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7" s="21" t="str">
        <f ca="1">IFERROR(__xludf.DUMMYFUNCTION("""COMPUTED_VALUE"""),"দিপক দেব নাথ     ১৭৩৮৩৮৫৮১৯")</f>
        <v>দিপক দেব নাথ     ১৭৩৮৩৮৫৮১৯</v>
      </c>
      <c r="I147" s="21"/>
    </row>
    <row r="148" spans="1:9" ht="16.5" customHeight="1" x14ac:dyDescent="0.15">
      <c r="A148" s="25">
        <f ca="1">IFERROR(__xludf.DUMMYFUNCTION("""COMPUTED_VALUE"""),142)</f>
        <v>142</v>
      </c>
      <c r="B148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8" s="25">
        <f ca="1">IFERROR(__xludf.DUMMYFUNCTION("""COMPUTED_VALUE"""),5)</f>
        <v>5</v>
      </c>
      <c r="E148" s="25" t="str">
        <f ca="1">IFERROR(__xludf.DUMMYFUNCTION("""COMPUTED_VALUE"""),"25.45636-89.77661")</f>
        <v>25.45636-89.77661</v>
      </c>
      <c r="F148" s="25" t="str">
        <f ca="1">IFERROR(__xludf.DUMMYFUNCTION("""COMPUTED_VALUE"""),"মোছাঃ আনোয়ারা খাতুন  ০১৬০৯৮৬০২৫")</f>
        <v>মোছাঃ আনোয়ারা খাতুন  ০১৬০৯৮৬০২৫</v>
      </c>
      <c r="G148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8" s="25" t="str">
        <f ca="1">IFERROR(__xludf.DUMMYFUNCTION("""COMPUTED_VALUE"""),"দিপক দেব নাথ     ১৭৩৮৩৮৫৮১৯")</f>
        <v>দিপক দেব নাথ     ১৭৩৮৩৮৫৮১৯</v>
      </c>
      <c r="I148" s="25"/>
    </row>
    <row r="149" spans="1:9" ht="16.5" customHeight="1" x14ac:dyDescent="0.15">
      <c r="A149" s="21">
        <f ca="1">IFERROR(__xludf.DUMMYFUNCTION("""COMPUTED_VALUE"""),143)</f>
        <v>143</v>
      </c>
      <c r="B149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9" s="21">
        <f ca="1">IFERROR(__xludf.DUMMYFUNCTION("""COMPUTED_VALUE"""),5)</f>
        <v>5</v>
      </c>
      <c r="E149" s="21" t="str">
        <f ca="1">IFERROR(__xludf.DUMMYFUNCTION("""COMPUTED_VALUE"""),"25.463031-89.77541")</f>
        <v>25.463031-89.77541</v>
      </c>
      <c r="F149" s="21" t="str">
        <f ca="1">IFERROR(__xludf.DUMMYFUNCTION("""COMPUTED_VALUE"""),"মোঃ আঃ আজিজ  ০১৮৫৮৮৮১৮৬৭")</f>
        <v>মোঃ আঃ আজিজ  ০১৮৫৮৮৮১৮৬৭</v>
      </c>
      <c r="G149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9" s="21" t="str">
        <f ca="1">IFERROR(__xludf.DUMMYFUNCTION("""COMPUTED_VALUE"""),"দিপক দেব নাথ     ১৭৩৮৩৮৫৮১৯")</f>
        <v>দিপক দেব নাথ     ১৭৩৮৩৮৫৮১৯</v>
      </c>
      <c r="I149" s="21"/>
    </row>
    <row r="150" spans="1:9" ht="16.5" customHeight="1" x14ac:dyDescent="0.15">
      <c r="A150" s="25">
        <f ca="1">IFERROR(__xludf.DUMMYFUNCTION("""COMPUTED_VALUE"""),144)</f>
        <v>144</v>
      </c>
      <c r="B150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0" s="25">
        <f ca="1">IFERROR(__xludf.DUMMYFUNCTION("""COMPUTED_VALUE"""),5)</f>
        <v>5</v>
      </c>
      <c r="E150" s="25" t="str">
        <f ca="1">IFERROR(__xludf.DUMMYFUNCTION("""COMPUTED_VALUE"""),"25.46978-89.77595")</f>
        <v>25.46978-89.77595</v>
      </c>
      <c r="F150" s="25" t="str">
        <f ca="1">IFERROR(__xludf.DUMMYFUNCTION("""COMPUTED_VALUE"""),"মোঃ আছর উদ্দিন  ০১৫৮০৪৭৩৯৭৭")</f>
        <v>মোঃ আছর উদ্দিন  ০১৫৮০৪৭৩৯৭৭</v>
      </c>
      <c r="G150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0" s="25" t="str">
        <f ca="1">IFERROR(__xludf.DUMMYFUNCTION("""COMPUTED_VALUE"""),"দিপক দেব নাথ     ১৭৩৮৩৮৫৮১৯")</f>
        <v>দিপক দেব নাথ     ১৭৩৮৩৮৫৮১৯</v>
      </c>
      <c r="I150" s="25"/>
    </row>
    <row r="151" spans="1:9" ht="16.5" customHeight="1" x14ac:dyDescent="0.15">
      <c r="A151" s="21">
        <f ca="1">IFERROR(__xludf.DUMMYFUNCTION("""COMPUTED_VALUE"""),145)</f>
        <v>145</v>
      </c>
      <c r="B151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1" s="21">
        <f ca="1">IFERROR(__xludf.DUMMYFUNCTION("""COMPUTED_VALUE"""),5)</f>
        <v>5</v>
      </c>
      <c r="E151" s="21" t="str">
        <f ca="1">IFERROR(__xludf.DUMMYFUNCTION("""COMPUTED_VALUE"""),"25.46114-89.77571")</f>
        <v>25.46114-89.77571</v>
      </c>
      <c r="F151" s="21" t="str">
        <f ca="1">IFERROR(__xludf.DUMMYFUNCTION("""COMPUTED_VALUE"""),"মোঃ মশিউর রহমান  ০১৩৬৪৭৭০৪৩")</f>
        <v>মোঃ মশিউর রহমান  ০১৩৬৪৭৭০৪৩</v>
      </c>
      <c r="G151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1" s="21" t="str">
        <f ca="1">IFERROR(__xludf.DUMMYFUNCTION("""COMPUTED_VALUE"""),"দিপক দেব নাথ     ১৭৩৮৩৮৫৮১৯")</f>
        <v>দিপক দেব নাথ     ১৭৩৮৩৮৫৮১৯</v>
      </c>
      <c r="I151" s="21"/>
    </row>
    <row r="152" spans="1:9" ht="16.5" customHeight="1" x14ac:dyDescent="0.15">
      <c r="A152" s="25">
        <f ca="1">IFERROR(__xludf.DUMMYFUNCTION("""COMPUTED_VALUE"""),146)</f>
        <v>146</v>
      </c>
      <c r="B152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2" s="25">
        <f ca="1">IFERROR(__xludf.DUMMYFUNCTION("""COMPUTED_VALUE"""),5)</f>
        <v>5</v>
      </c>
      <c r="E152" s="25" t="str">
        <f ca="1">IFERROR(__xludf.DUMMYFUNCTION("""COMPUTED_VALUE"""),"25.47199-89.77729")</f>
        <v>25.47199-89.77729</v>
      </c>
      <c r="F152" s="25" t="str">
        <f ca="1">IFERROR(__xludf.DUMMYFUNCTION("""COMPUTED_VALUE"""),"মোছাঃ জহুরা খাতুন  ০১৮৮৯৯৫২০২৩")</f>
        <v>মোছাঃ জহুরা খাতুন  ০১৮৮৯৯৫২০২৩</v>
      </c>
      <c r="G152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2" s="25" t="str">
        <f ca="1">IFERROR(__xludf.DUMMYFUNCTION("""COMPUTED_VALUE"""),"দিপক দেব নাথ     ১৭৩৮৩৮৫৮১৯")</f>
        <v>দিপক দেব নাথ     ১৭৩৮৩৮৫৮১৯</v>
      </c>
      <c r="I152" s="25"/>
    </row>
    <row r="153" spans="1:9" ht="16.5" customHeight="1" x14ac:dyDescent="0.15">
      <c r="A153" s="21">
        <f ca="1">IFERROR(__xludf.DUMMYFUNCTION("""COMPUTED_VALUE"""),147)</f>
        <v>147</v>
      </c>
      <c r="B153" s="21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3" s="21">
        <f ca="1">IFERROR(__xludf.DUMMYFUNCTION("""COMPUTED_VALUE"""),5)</f>
        <v>5</v>
      </c>
      <c r="E153" s="21" t="str">
        <f ca="1">IFERROR(__xludf.DUMMYFUNCTION("""COMPUTED_VALUE"""),"2547209-89.77741")</f>
        <v>2547209-89.77741</v>
      </c>
      <c r="F153" s="21" t="str">
        <f ca="1">IFERROR(__xludf.DUMMYFUNCTION("""COMPUTED_VALUE"""),"মোছাঃ জেসমিন খাতুন  ০১৯০৪৮৫৯১২০")</f>
        <v>মোছাঃ জেসমিন খাতুন  ০১৯০৪৮৫৯১২০</v>
      </c>
      <c r="G15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3" s="21" t="str">
        <f ca="1">IFERROR(__xludf.DUMMYFUNCTION("""COMPUTED_VALUE"""),"দিপক দেব নাথ     ১৭৩৮৩৮৫৮১৯")</f>
        <v>দিপক দেব নাথ     ১৭৩৮৩৮৫৮১৯</v>
      </c>
      <c r="I153" s="21"/>
    </row>
    <row r="154" spans="1:9" ht="16.5" customHeight="1" x14ac:dyDescent="0.15">
      <c r="A154" s="25">
        <f ca="1">IFERROR(__xludf.DUMMYFUNCTION("""COMPUTED_VALUE"""),148)</f>
        <v>148</v>
      </c>
      <c r="B154" s="25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4" s="25">
        <f ca="1">IFERROR(__xludf.DUMMYFUNCTION("""COMPUTED_VALUE"""),5)</f>
        <v>5</v>
      </c>
      <c r="E154" s="25" t="str">
        <f ca="1">IFERROR(__xludf.DUMMYFUNCTION("""COMPUTED_VALUE"""),"25.46668-89.7619")</f>
        <v>25.46668-89.7619</v>
      </c>
      <c r="F154" s="25" t="str">
        <f ca="1">IFERROR(__xludf.DUMMYFUNCTION("""COMPUTED_VALUE"""),"মোছাঃ আদর আলী  ০১৯৪২১৭৫৬৫০")</f>
        <v>মোছাঃ আদর আলী  ০১৯৪২১৭৫৬৫০</v>
      </c>
      <c r="G15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4" s="25" t="str">
        <f ca="1">IFERROR(__xludf.DUMMYFUNCTION("""COMPUTED_VALUE"""),"দিপক দেব নাথ     ১৭৩৮৩৮৫৮১৯")</f>
        <v>দিপক দেব নাথ     ১৭৩৮৩৮৫৮১৯</v>
      </c>
      <c r="I154" s="25"/>
    </row>
    <row r="155" spans="1:9" ht="16.5" customHeight="1" x14ac:dyDescent="0.15">
      <c r="A155" s="21">
        <f ca="1">IFERROR(__xludf.DUMMYFUNCTION("""COMPUTED_VALUE"""),149)</f>
        <v>149</v>
      </c>
      <c r="B155" s="21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5" s="21">
        <f ca="1">IFERROR(__xludf.DUMMYFUNCTION("""COMPUTED_VALUE"""),5)</f>
        <v>5</v>
      </c>
      <c r="E155" s="21" t="str">
        <f ca="1">IFERROR(__xludf.DUMMYFUNCTION("""COMPUTED_VALUE"""),"25.45807-89.76712")</f>
        <v>25.45807-89.76712</v>
      </c>
      <c r="F155" s="21" t="str">
        <f ca="1">IFERROR(__xludf.DUMMYFUNCTION("""COMPUTED_VALUE"""),"মোছাঃ মর্জিনা বেগম ০১৯৬৯১৬৫৫৬০")</f>
        <v>মোছাঃ মর্জিনা বেগম ০১৯৬৯১৬৫৫৬০</v>
      </c>
      <c r="G15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5" s="21" t="str">
        <f ca="1">IFERROR(__xludf.DUMMYFUNCTION("""COMPUTED_VALUE"""),"দিপক দেব নাথ     ১৭৩৮৩৮৫৮১৯")</f>
        <v>দিপক দেব নাথ     ১৭৩৮৩৮৫৮১৯</v>
      </c>
      <c r="I155" s="21"/>
    </row>
    <row r="156" spans="1:9" ht="16.5" customHeight="1" x14ac:dyDescent="0.15">
      <c r="A156" s="25">
        <f ca="1">IFERROR(__xludf.DUMMYFUNCTION("""COMPUTED_VALUE"""),150)</f>
        <v>150</v>
      </c>
      <c r="B156" s="25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6" s="25">
        <f ca="1">IFERROR(__xludf.DUMMYFUNCTION("""COMPUTED_VALUE"""),5)</f>
        <v>5</v>
      </c>
      <c r="E156" s="25" t="str">
        <f ca="1">IFERROR(__xludf.DUMMYFUNCTION("""COMPUTED_VALUE"""),"25.45806-89.76861")</f>
        <v>25.45806-89.76861</v>
      </c>
      <c r="F156" s="25" t="str">
        <f ca="1">IFERROR(__xludf.DUMMYFUNCTION("""COMPUTED_VALUE"""),"মোঃ আলীম  ০১৯২৬২৩৯৮১৪")</f>
        <v>মোঃ আলীম  ০১৯২৬২৩৯৮১৪</v>
      </c>
      <c r="G15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6" s="25" t="str">
        <f ca="1">IFERROR(__xludf.DUMMYFUNCTION("""COMPUTED_VALUE"""),"দিপক দেব নাথ     ১৭৩৮৩৮৫৮১৯")</f>
        <v>দিপক দেব নাথ     ১৭৩৮৩৮৫৮১৯</v>
      </c>
      <c r="I156" s="25"/>
    </row>
    <row r="157" spans="1:9" ht="16.5" customHeight="1" x14ac:dyDescent="0.15">
      <c r="A157" s="21">
        <f ca="1">IFERROR(__xludf.DUMMYFUNCTION("""COMPUTED_VALUE"""),151)</f>
        <v>151</v>
      </c>
      <c r="B157" s="21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7" s="21">
        <f ca="1">IFERROR(__xludf.DUMMYFUNCTION("""COMPUTED_VALUE"""),5)</f>
        <v>5</v>
      </c>
      <c r="E157" s="21" t="str">
        <f ca="1">IFERROR(__xludf.DUMMYFUNCTION("""COMPUTED_VALUE"""),"25.483434-89.792378")</f>
        <v>25.483434-89.792378</v>
      </c>
      <c r="F157" s="21" t="str">
        <f ca="1">IFERROR(__xludf.DUMMYFUNCTION("""COMPUTED_VALUE"""),"মোঃ সমের আলী ০১৭৮৩০২৭৯৫৩")</f>
        <v>মোঃ সমের আলী ০১৭৮৩০২৭৯৫৩</v>
      </c>
      <c r="G15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7" s="21" t="str">
        <f ca="1">IFERROR(__xludf.DUMMYFUNCTION("""COMPUTED_VALUE"""),"দিপক দেব নাথ     ১৭৩৮৩৮৫৮১৯")</f>
        <v>দিপক দেব নাথ     ১৭৩৮৩৮৫৮১৯</v>
      </c>
      <c r="I157" s="21"/>
    </row>
    <row r="158" spans="1:9" ht="16.5" customHeight="1" x14ac:dyDescent="0.15">
      <c r="A158" s="25">
        <f ca="1">IFERROR(__xludf.DUMMYFUNCTION("""COMPUTED_VALUE"""),152)</f>
        <v>152</v>
      </c>
      <c r="B158" s="25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8" s="25">
        <f ca="1">IFERROR(__xludf.DUMMYFUNCTION("""COMPUTED_VALUE"""),5)</f>
        <v>5</v>
      </c>
      <c r="E158" s="25" t="str">
        <f ca="1">IFERROR(__xludf.DUMMYFUNCTION("""COMPUTED_VALUE"""),"25.482685-89.792396")</f>
        <v>25.482685-89.792396</v>
      </c>
      <c r="F158" s="25" t="str">
        <f ca="1">IFERROR(__xludf.DUMMYFUNCTION("""COMPUTED_VALUE"""),"মোঃ দুলাল মিয়া  ০১৯১৪৫৭৪০৭৫")</f>
        <v>মোঃ দুলাল মিয়া  ০১৯১৪৫৭৪০৭৫</v>
      </c>
      <c r="G15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8" s="25" t="str">
        <f ca="1">IFERROR(__xludf.DUMMYFUNCTION("""COMPUTED_VALUE"""),"দিপক দেব নাথ     ১৭৩৮৩৮৫৮১৯")</f>
        <v>দিপক দেব নাথ     ১৭৩৮৩৮৫৮১৯</v>
      </c>
      <c r="I158" s="25"/>
    </row>
    <row r="159" spans="1:9" ht="16.5" customHeight="1" x14ac:dyDescent="0.15">
      <c r="A159" s="21">
        <f ca="1">IFERROR(__xludf.DUMMYFUNCTION("""COMPUTED_VALUE"""),153)</f>
        <v>153</v>
      </c>
      <c r="B159" s="21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9" s="21">
        <f ca="1">IFERROR(__xludf.DUMMYFUNCTION("""COMPUTED_VALUE"""),5)</f>
        <v>5</v>
      </c>
      <c r="E159" s="21" t="str">
        <f ca="1">IFERROR(__xludf.DUMMYFUNCTION("""COMPUTED_VALUE"""),"25.486542-89.795362")</f>
        <v>25.486542-89.795362</v>
      </c>
      <c r="F159" s="21" t="str">
        <f ca="1">IFERROR(__xludf.DUMMYFUNCTION("""COMPUTED_VALUE"""),"মোঃ শাহজাহান ০১৯৮৮১৪৮১৩১")</f>
        <v>মোঃ শাহজাহান ০১৯৮৮১৪৮১৩১</v>
      </c>
      <c r="G15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9" s="21" t="str">
        <f ca="1">IFERROR(__xludf.DUMMYFUNCTION("""COMPUTED_VALUE"""),"দিপক দেব নাথ     ১৭৩৮৩৮৫৮১৯")</f>
        <v>দিপক দেব নাথ     ১৭৩৮৩৮৫৮১৯</v>
      </c>
      <c r="I159" s="21"/>
    </row>
    <row r="160" spans="1:9" ht="16.5" customHeight="1" x14ac:dyDescent="0.15">
      <c r="A160" s="25">
        <f ca="1">IFERROR(__xludf.DUMMYFUNCTION("""COMPUTED_VALUE"""),154)</f>
        <v>154</v>
      </c>
      <c r="B160" s="25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6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0" s="25">
        <f ca="1">IFERROR(__xludf.DUMMYFUNCTION("""COMPUTED_VALUE"""),5)</f>
        <v>5</v>
      </c>
      <c r="E160" s="25" t="str">
        <f ca="1">IFERROR(__xludf.DUMMYFUNCTION("""COMPUTED_VALUE"""),"25.467781-89.794970")</f>
        <v>25.467781-89.794970</v>
      </c>
      <c r="F160" s="25" t="str">
        <f ca="1">IFERROR(__xludf.DUMMYFUNCTION("""COMPUTED_VALUE"""),"মোঃ আঃ করিম  ০১৯০৮২৩৬২১৫")</f>
        <v>মোঃ আঃ করিম  ০১৯০৮২৩৬২১৫</v>
      </c>
      <c r="G16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0" s="25" t="str">
        <f ca="1">IFERROR(__xludf.DUMMYFUNCTION("""COMPUTED_VALUE"""),"দিপক দেব নাথ     ১৭৩৮৩৮৫৮১৯")</f>
        <v>দিপক দেব নাথ     ১৭৩৮৩৮৫৮১৯</v>
      </c>
      <c r="I160" s="25"/>
    </row>
    <row r="161" spans="1:9" ht="16.5" customHeight="1" x14ac:dyDescent="0.15">
      <c r="A161" s="21">
        <f ca="1">IFERROR(__xludf.DUMMYFUNCTION("""COMPUTED_VALUE"""),155)</f>
        <v>155</v>
      </c>
      <c r="B161" s="21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1" s="21">
        <f ca="1">IFERROR(__xludf.DUMMYFUNCTION("""COMPUTED_VALUE"""),5)</f>
        <v>5</v>
      </c>
      <c r="E161" s="21" t="str">
        <f ca="1">IFERROR(__xludf.DUMMYFUNCTION("""COMPUTED_VALUE"""),"25.498313-89.779273")</f>
        <v>25.498313-89.779273</v>
      </c>
      <c r="F161" s="21" t="str">
        <f ca="1">IFERROR(__xludf.DUMMYFUNCTION("""COMPUTED_VALUE"""),"মোঃ হাবেজ উদ্দিন  ০১৪০৫৯৬০৩০০")</f>
        <v>মোঃ হাবেজ উদ্দিন  ০১৪০৫৯৬০৩০০</v>
      </c>
      <c r="G16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1" s="21" t="str">
        <f ca="1">IFERROR(__xludf.DUMMYFUNCTION("""COMPUTED_VALUE"""),"দিপক দেব নাথ     ১৭৩৮৩৮৫৮১৯")</f>
        <v>দিপক দেব নাথ     ১৭৩৮৩৮৫৮১৯</v>
      </c>
      <c r="I161" s="21"/>
    </row>
    <row r="162" spans="1:9" ht="16.5" customHeight="1" x14ac:dyDescent="0.15">
      <c r="A162" s="25">
        <f ca="1">IFERROR(__xludf.DUMMYFUNCTION("""COMPUTED_VALUE"""),156)</f>
        <v>156</v>
      </c>
      <c r="B162" s="25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2" s="25">
        <f ca="1">IFERROR(__xludf.DUMMYFUNCTION("""COMPUTED_VALUE"""),5)</f>
        <v>5</v>
      </c>
      <c r="E162" s="25" t="str">
        <f ca="1">IFERROR(__xludf.DUMMYFUNCTION("""COMPUTED_VALUE"""),"25.496947-89.779314")</f>
        <v>25.496947-89.779314</v>
      </c>
      <c r="F162" s="25" t="str">
        <f ca="1">IFERROR(__xludf.DUMMYFUNCTION("""COMPUTED_VALUE"""),"মোঃ আবু সামা ০১৯২২৫২৭৮৪০")</f>
        <v>মোঃ আবু সামা ০১৯২২৫২৭৮৪০</v>
      </c>
      <c r="G16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2" s="25" t="str">
        <f ca="1">IFERROR(__xludf.DUMMYFUNCTION("""COMPUTED_VALUE"""),"দিপক দেব নাথ     ১৭৩৮৩৮৫৮১৯")</f>
        <v>দিপক দেব নাথ     ১৭৩৮৩৮৫৮১৯</v>
      </c>
      <c r="I162" s="25"/>
    </row>
    <row r="163" spans="1:9" ht="16.5" customHeight="1" x14ac:dyDescent="0.15">
      <c r="A163" s="21">
        <f ca="1">IFERROR(__xludf.DUMMYFUNCTION("""COMPUTED_VALUE"""),157)</f>
        <v>157</v>
      </c>
      <c r="B163" s="21" t="str">
        <f ca="1">IFERROR(__xludf.DUMMYFUNCTION("""COMPUTED_VALUE"""),"গ্রামঃ চর সাজাই ম্ষ্টার পাড়া, ইউনিয়নঃ কোদালকাটি, উপজেলাঃ চর রাজিবপুর, জেলাঃ কুড়িগ্রাম।")</f>
        <v>গ্রামঃ চর সাজাই ম্ষ্টার পাড়া, ইউনিয়নঃ কোদালকাটি, উপজেলাঃ চর রাজিবপুর, জেলাঃ কুড়িগ্রাম।</v>
      </c>
      <c r="C16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3" s="21">
        <f ca="1">IFERROR(__xludf.DUMMYFUNCTION("""COMPUTED_VALUE"""),5)</f>
        <v>5</v>
      </c>
      <c r="E163" s="21" t="str">
        <f ca="1">IFERROR(__xludf.DUMMYFUNCTION("""COMPUTED_VALUE"""),"25.496424-89.773006")</f>
        <v>25.496424-89.773006</v>
      </c>
      <c r="F163" s="21" t="str">
        <f ca="1">IFERROR(__xludf.DUMMYFUNCTION("""COMPUTED_VALUE"""),"মোঃ হাসান মিয়া  ০১৯৪৮৪৫৩৭৭৫")</f>
        <v>মোঃ হাসান মিয়া  ০১৯৪৮৪৫৩৭৭৫</v>
      </c>
      <c r="G16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3" s="21" t="str">
        <f ca="1">IFERROR(__xludf.DUMMYFUNCTION("""COMPUTED_VALUE"""),"দিপক দেব নাথ     ১৭৩৮৩৮৫৮১৯")</f>
        <v>দিপক দেব নাথ     ১৭৩৮৩৮৫৮১৯</v>
      </c>
      <c r="I163" s="21"/>
    </row>
    <row r="164" spans="1:9" ht="16.5" customHeight="1" x14ac:dyDescent="0.15">
      <c r="A164" s="25">
        <f ca="1">IFERROR(__xludf.DUMMYFUNCTION("""COMPUTED_VALUE"""),158)</f>
        <v>158</v>
      </c>
      <c r="B164" s="25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4" s="25">
        <f ca="1">IFERROR(__xludf.DUMMYFUNCTION("""COMPUTED_VALUE"""),5)</f>
        <v>5</v>
      </c>
      <c r="E164" s="25" t="str">
        <f ca="1">IFERROR(__xludf.DUMMYFUNCTION("""COMPUTED_VALUE"""),"25.497345-89.778231")</f>
        <v>25.497345-89.778231</v>
      </c>
      <c r="F164" s="25" t="str">
        <f ca="1">IFERROR(__xludf.DUMMYFUNCTION("""COMPUTED_VALUE"""),"মোছাঃ দেলোয়ারা খাতুন ০১৯৩৮১০৩২১৫")</f>
        <v>মোছাঃ দেলোয়ারা খাতুন ০১৯৩৮১০৩২১৫</v>
      </c>
      <c r="G16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4" s="25" t="str">
        <f ca="1">IFERROR(__xludf.DUMMYFUNCTION("""COMPUTED_VALUE"""),"দিপক দেব নাথ     ১৭৩৮৩৮৫৮১৯")</f>
        <v>দিপক দেব নাথ     ১৭৩৮৩৮৫৮১৯</v>
      </c>
      <c r="I164" s="25"/>
    </row>
    <row r="165" spans="1:9" ht="16.5" customHeight="1" x14ac:dyDescent="0.15">
      <c r="A165" s="21">
        <f ca="1">IFERROR(__xludf.DUMMYFUNCTION("""COMPUTED_VALUE"""),159)</f>
        <v>159</v>
      </c>
      <c r="B165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5" s="21">
        <f ca="1">IFERROR(__xludf.DUMMYFUNCTION("""COMPUTED_VALUE"""),5)</f>
        <v>5</v>
      </c>
      <c r="E165" s="21" t="str">
        <f ca="1">IFERROR(__xludf.DUMMYFUNCTION("""COMPUTED_VALUE"""),"25.498034-89.780624")</f>
        <v>25.498034-89.780624</v>
      </c>
      <c r="F165" s="21" t="str">
        <f ca="1">IFERROR(__xludf.DUMMYFUNCTION("""COMPUTED_VALUE"""),"মোঃ মাজেদা খাতুন  ০১৯৬৮১৮৬৬৮৯")</f>
        <v>মোঃ মাজেদা খাতুন  ০১৯৬৮১৮৬৬৮৯</v>
      </c>
      <c r="G165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5" s="21" t="str">
        <f ca="1">IFERROR(__xludf.DUMMYFUNCTION("""COMPUTED_VALUE"""),"দিপক দেব নাথ     ১৭৩৮৩৮৫৮১৯")</f>
        <v>দিপক দেব নাথ     ১৭৩৮৩৮৫৮১৯</v>
      </c>
      <c r="I165" s="21"/>
    </row>
    <row r="166" spans="1:9" ht="16.5" customHeight="1" x14ac:dyDescent="0.15">
      <c r="A166" s="25">
        <f ca="1">IFERROR(__xludf.DUMMYFUNCTION("""COMPUTED_VALUE"""),160)</f>
        <v>160</v>
      </c>
      <c r="B166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6" s="25">
        <f ca="1">IFERROR(__xludf.DUMMYFUNCTION("""COMPUTED_VALUE"""),5)</f>
        <v>5</v>
      </c>
      <c r="E166" s="25" t="str">
        <f ca="1">IFERROR(__xludf.DUMMYFUNCTION("""COMPUTED_VALUE"""),"25.497393-89.778170")</f>
        <v>25.497393-89.778170</v>
      </c>
      <c r="F166" s="25" t="str">
        <f ca="1">IFERROR(__xludf.DUMMYFUNCTION("""COMPUTED_VALUE"""),"মোছাঃ ছাহেরা খাতুন  ০১৯২৭০৯৫৭৪৩")</f>
        <v>মোছাঃ ছাহেরা খাতুন  ০১৯২৭০৯৫৭৪৩</v>
      </c>
      <c r="G166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6" s="25" t="str">
        <f ca="1">IFERROR(__xludf.DUMMYFUNCTION("""COMPUTED_VALUE"""),"দিপক দেব নাথ     ১৭৩৮৩৮৫৮১৯")</f>
        <v>দিপক দেব নাথ     ১৭৩৮৩৮৫৮১৯</v>
      </c>
      <c r="I166" s="25"/>
    </row>
    <row r="167" spans="1:9" ht="16.5" customHeight="1" x14ac:dyDescent="0.15">
      <c r="A167" s="21">
        <f ca="1">IFERROR(__xludf.DUMMYFUNCTION("""COMPUTED_VALUE"""),161)</f>
        <v>161</v>
      </c>
      <c r="B167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7" s="21">
        <f ca="1">IFERROR(__xludf.DUMMYFUNCTION("""COMPUTED_VALUE"""),5)</f>
        <v>5</v>
      </c>
      <c r="E167" s="21" t="str">
        <f ca="1">IFERROR(__xludf.DUMMYFUNCTION("""COMPUTED_VALUE"""),"25.496565-89.778095")</f>
        <v>25.496565-89.778095</v>
      </c>
      <c r="F167" s="21" t="str">
        <f ca="1">IFERROR(__xludf.DUMMYFUNCTION("""COMPUTED_VALUE"""),"মোঃ আঃ কাদের  ০১৯৬৮১৯১৫১৩")</f>
        <v>মোঃ আঃ কাদের  ০১৯৬৮১৯১৫১৩</v>
      </c>
      <c r="G16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7" s="21" t="str">
        <f ca="1">IFERROR(__xludf.DUMMYFUNCTION("""COMPUTED_VALUE"""),"দিপক দেব নাথ     ১৭৩৮৩৮৫৮১৯")</f>
        <v>দিপক দেব নাথ     ১৭৩৮৩৮৫৮১৯</v>
      </c>
      <c r="I167" s="21"/>
    </row>
    <row r="168" spans="1:9" ht="16.5" customHeight="1" x14ac:dyDescent="0.15">
      <c r="A168" s="25">
        <f ca="1">IFERROR(__xludf.DUMMYFUNCTION("""COMPUTED_VALUE"""),162)</f>
        <v>162</v>
      </c>
      <c r="B168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8" s="25">
        <f ca="1">IFERROR(__xludf.DUMMYFUNCTION("""COMPUTED_VALUE"""),5)</f>
        <v>5</v>
      </c>
      <c r="E168" s="25" t="str">
        <f ca="1">IFERROR(__xludf.DUMMYFUNCTION("""COMPUTED_VALUE"""),"25.495823-89.775805")</f>
        <v>25.495823-89.775805</v>
      </c>
      <c r="F168" s="25" t="str">
        <f ca="1">IFERROR(__xludf.DUMMYFUNCTION("""COMPUTED_VALUE"""),"মোঃ সোহানুর মিয়া  ০১৮১৬৯৪৪১০৯")</f>
        <v>মোঃ সোহানুর মিয়া  ০১৮১৬৯৪৪১০৯</v>
      </c>
      <c r="G16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8" s="25" t="str">
        <f ca="1">IFERROR(__xludf.DUMMYFUNCTION("""COMPUTED_VALUE"""),"দিপক দেব নাথ     ১৭৩৮৩৮৫৮১৯")</f>
        <v>দিপক দেব নাথ     ১৭৩৮৩৮৫৮১৯</v>
      </c>
      <c r="I168" s="25"/>
    </row>
    <row r="169" spans="1:9" ht="16.5" customHeight="1" x14ac:dyDescent="0.15">
      <c r="A169" s="21">
        <f ca="1">IFERROR(__xludf.DUMMYFUNCTION("""COMPUTED_VALUE"""),163)</f>
        <v>163</v>
      </c>
      <c r="B169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9" s="21">
        <f ca="1">IFERROR(__xludf.DUMMYFUNCTION("""COMPUTED_VALUE"""),5)</f>
        <v>5</v>
      </c>
      <c r="E169" s="21" t="str">
        <f ca="1">IFERROR(__xludf.DUMMYFUNCTION("""COMPUTED_VALUE"""),"25.50488-89.77825")</f>
        <v>25.50488-89.77825</v>
      </c>
      <c r="F169" s="21" t="str">
        <f ca="1">IFERROR(__xludf.DUMMYFUNCTION("""COMPUTED_VALUE"""),"মোঃ জায়েদুল রহমান  ০১৯৮৮৮৩২২১৩")</f>
        <v>মোঃ জায়েদুল রহমান  ০১৯৮৮৮৩২২১৩</v>
      </c>
      <c r="G16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9" s="21" t="str">
        <f ca="1">IFERROR(__xludf.DUMMYFUNCTION("""COMPUTED_VALUE"""),"দিপক দেব নাথ     ১৭৩৮৩৮৫৮১৯")</f>
        <v>দিপক দেব নাথ     ১৭৩৮৩৮৫৮১৯</v>
      </c>
      <c r="I169" s="21"/>
    </row>
    <row r="170" spans="1:9" ht="16.5" customHeight="1" x14ac:dyDescent="0.15">
      <c r="A170" s="25">
        <f ca="1">IFERROR(__xludf.DUMMYFUNCTION("""COMPUTED_VALUE"""),164)</f>
        <v>164</v>
      </c>
      <c r="B170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0" s="25">
        <f ca="1">IFERROR(__xludf.DUMMYFUNCTION("""COMPUTED_VALUE"""),5)</f>
        <v>5</v>
      </c>
      <c r="E170" s="25" t="str">
        <f ca="1">IFERROR(__xludf.DUMMYFUNCTION("""COMPUTED_VALUE"""),"25.50766-89.78096")</f>
        <v>25.50766-89.78096</v>
      </c>
      <c r="F170" s="25" t="str">
        <f ca="1">IFERROR(__xludf.DUMMYFUNCTION("""COMPUTED_VALUE"""),"মোঃ ইনছান আলী  ০১৯০৯০১৯৯০৪")</f>
        <v>মোঃ ইনছান আলী  ০১৯০৯০১৯৯০৪</v>
      </c>
      <c r="G17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0" s="25" t="str">
        <f ca="1">IFERROR(__xludf.DUMMYFUNCTION("""COMPUTED_VALUE"""),"দিপক দেব নাথ     ১৭৩৮৩৮৫৮১৯")</f>
        <v>দিপক দেব নাথ     ১৭৩৮৩৮৫৮১৯</v>
      </c>
      <c r="I170" s="25"/>
    </row>
    <row r="171" spans="1:9" ht="16.5" customHeight="1" x14ac:dyDescent="0.15">
      <c r="A171" s="21">
        <f ca="1">IFERROR(__xludf.DUMMYFUNCTION("""COMPUTED_VALUE"""),165)</f>
        <v>165</v>
      </c>
      <c r="B171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1" s="21">
        <f ca="1">IFERROR(__xludf.DUMMYFUNCTION("""COMPUTED_VALUE"""),5)</f>
        <v>5</v>
      </c>
      <c r="E171" s="21" t="str">
        <f ca="1">IFERROR(__xludf.DUMMYFUNCTION("""COMPUTED_VALUE"""),"2550778-89.78210")</f>
        <v>2550778-89.78210</v>
      </c>
      <c r="F171" s="21" t="str">
        <f ca="1">IFERROR(__xludf.DUMMYFUNCTION("""COMPUTED_VALUE"""),"মোঃ দুদু মিয়া")</f>
        <v>মোঃ দুদু মিয়া</v>
      </c>
      <c r="G17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1" s="21" t="str">
        <f ca="1">IFERROR(__xludf.DUMMYFUNCTION("""COMPUTED_VALUE"""),"দিপক দেব নাথ     ১৭৩৮৩৮৫৮১৯")</f>
        <v>দিপক দেব নাথ     ১৭৩৮৩৮৫৮১৯</v>
      </c>
      <c r="I171" s="21"/>
    </row>
    <row r="172" spans="1:9" ht="16.5" customHeight="1" x14ac:dyDescent="0.15">
      <c r="A172" s="25">
        <f ca="1">IFERROR(__xludf.DUMMYFUNCTION("""COMPUTED_VALUE"""),166)</f>
        <v>166</v>
      </c>
      <c r="B172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2" s="25">
        <f ca="1">IFERROR(__xludf.DUMMYFUNCTION("""COMPUTED_VALUE"""),5)</f>
        <v>5</v>
      </c>
      <c r="E172" s="25" t="str">
        <f ca="1">IFERROR(__xludf.DUMMYFUNCTION("""COMPUTED_VALUE"""),"25.50996-89.78164")</f>
        <v>25.50996-89.78164</v>
      </c>
      <c r="F172" s="25" t="str">
        <f ca="1">IFERROR(__xludf.DUMMYFUNCTION("""COMPUTED_VALUE"""),"মোছাঃ জাহানারা খাতুন ০১৩৩০২৫৯১২০")</f>
        <v>মোছাঃ জাহানারা খাতুন ০১৩৩০২৫৯১২০</v>
      </c>
      <c r="G17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2" s="25" t="str">
        <f ca="1">IFERROR(__xludf.DUMMYFUNCTION("""COMPUTED_VALUE"""),"দিপক দেব নাথ     ১৭৩৮৩৮৫৮১৯")</f>
        <v>দিপক দেব নাথ     ১৭৩৮৩৮৫৮১৯</v>
      </c>
      <c r="I172" s="25"/>
    </row>
    <row r="173" spans="1:9" ht="16.5" customHeight="1" x14ac:dyDescent="0.15">
      <c r="A173" s="21">
        <f ca="1">IFERROR(__xludf.DUMMYFUNCTION("""COMPUTED_VALUE"""),167)</f>
        <v>167</v>
      </c>
      <c r="B173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3" s="21">
        <f ca="1">IFERROR(__xludf.DUMMYFUNCTION("""COMPUTED_VALUE"""),5)</f>
        <v>5</v>
      </c>
      <c r="E173" s="21" t="str">
        <f ca="1">IFERROR(__xludf.DUMMYFUNCTION("""COMPUTED_VALUE"""),"25.50786-8978236")</f>
        <v>25.50786-8978236</v>
      </c>
      <c r="F173" s="21" t="str">
        <f ca="1">IFERROR(__xludf.DUMMYFUNCTION("""COMPUTED_VALUE"""),"মোঃ মোবশের আলম  ০১৯২২৯৮১৪৭৬")</f>
        <v>মোঃ মোবশের আলম  ০১৯২২৯৮১৪৭৬</v>
      </c>
      <c r="G17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3" s="21" t="str">
        <f ca="1">IFERROR(__xludf.DUMMYFUNCTION("""COMPUTED_VALUE"""),"দিপক দেব নাথ     ১৭৩৮৩৮৫৮১৯")</f>
        <v>দিপক দেব নাথ     ১৭৩৮৩৮৫৮১৯</v>
      </c>
      <c r="I173" s="21"/>
    </row>
    <row r="174" spans="1:9" ht="16.5" customHeight="1" x14ac:dyDescent="0.15">
      <c r="A174" s="25">
        <f ca="1">IFERROR(__xludf.DUMMYFUNCTION("""COMPUTED_VALUE"""),168)</f>
        <v>168</v>
      </c>
      <c r="B174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4" s="25">
        <f ca="1">IFERROR(__xludf.DUMMYFUNCTION("""COMPUTED_VALUE"""),5)</f>
        <v>5</v>
      </c>
      <c r="E174" s="25" t="str">
        <f ca="1">IFERROR(__xludf.DUMMYFUNCTION("""COMPUTED_VALUE"""),"25.51108-89.78194")</f>
        <v>25.51108-89.78194</v>
      </c>
      <c r="F174" s="25" t="str">
        <f ca="1">IFERROR(__xludf.DUMMYFUNCTION("""COMPUTED_VALUE"""),"মোঃ এবাদুল হক  ০১৯৮৬৫৯১৮১১")</f>
        <v>মোঃ এবাদুল হক  ০১৯৮৬৫৯১৮১১</v>
      </c>
      <c r="G17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4" s="25" t="str">
        <f ca="1">IFERROR(__xludf.DUMMYFUNCTION("""COMPUTED_VALUE"""),"দিপক দেব নাথ     ১৭৩৮৩৮৫৮১৯")</f>
        <v>দিপক দেব নাথ     ১৭৩৮৩৮৫৮১৯</v>
      </c>
      <c r="I174" s="25"/>
    </row>
    <row r="175" spans="1:9" ht="16.5" customHeight="1" x14ac:dyDescent="0.15">
      <c r="A175" s="21">
        <f ca="1">IFERROR(__xludf.DUMMYFUNCTION("""COMPUTED_VALUE"""),169)</f>
        <v>169</v>
      </c>
      <c r="B175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5" s="21">
        <f ca="1">IFERROR(__xludf.DUMMYFUNCTION("""COMPUTED_VALUE"""),5)</f>
        <v>5</v>
      </c>
      <c r="E175" s="21" t="str">
        <f ca="1">IFERROR(__xludf.DUMMYFUNCTION("""COMPUTED_VALUE"""),"25.51042-89.7836")</f>
        <v>25.51042-89.7836</v>
      </c>
      <c r="F175" s="21" t="str">
        <f ca="1">IFERROR(__xludf.DUMMYFUNCTION("""COMPUTED_VALUE"""),"মোঃ সবুজ মিয়া  ০১৯৮০১১৮৯৭৯")</f>
        <v>মোঃ সবুজ মিয়া  ০১৯৮০১১৮৯৭৯</v>
      </c>
      <c r="G175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5" s="21" t="str">
        <f ca="1">IFERROR(__xludf.DUMMYFUNCTION("""COMPUTED_VALUE"""),"দিপক দেব নাথ     ১৭৩৮৩৮৫৮১৯")</f>
        <v>দিপক দেব নাথ     ১৭৩৮৩৮৫৮১৯</v>
      </c>
      <c r="I175" s="21"/>
    </row>
    <row r="176" spans="1:9" ht="16.5" customHeight="1" x14ac:dyDescent="0.15">
      <c r="A176" s="25">
        <f ca="1">IFERROR(__xludf.DUMMYFUNCTION("""COMPUTED_VALUE"""),170)</f>
        <v>170</v>
      </c>
      <c r="B176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6" s="25">
        <f ca="1">IFERROR(__xludf.DUMMYFUNCTION("""COMPUTED_VALUE"""),5)</f>
        <v>5</v>
      </c>
      <c r="E176" s="25" t="str">
        <f ca="1">IFERROR(__xludf.DUMMYFUNCTION("""COMPUTED_VALUE"""),"25.50683-8978051")</f>
        <v>25.50683-8978051</v>
      </c>
      <c r="F176" s="25" t="str">
        <f ca="1">IFERROR(__xludf.DUMMYFUNCTION("""COMPUTED_VALUE"""),"মোঃ উজির আলী ০১৯৮০১৫১৩১১")</f>
        <v>মোঃ উজির আলী ০১৯৮০১৫১৩১১</v>
      </c>
      <c r="G176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6" s="25" t="str">
        <f ca="1">IFERROR(__xludf.DUMMYFUNCTION("""COMPUTED_VALUE"""),"দিপক দেব নাথ     ১৭৩৮৩৮৫৮১৯")</f>
        <v>দিপক দেব নাথ     ১৭৩৮৩৮৫৮১৯</v>
      </c>
      <c r="I176" s="25"/>
    </row>
    <row r="177" spans="1:9" ht="16.5" customHeight="1" x14ac:dyDescent="0.15">
      <c r="A177" s="21">
        <f ca="1">IFERROR(__xludf.DUMMYFUNCTION("""COMPUTED_VALUE"""),171)</f>
        <v>171</v>
      </c>
      <c r="B177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7" s="21">
        <f ca="1">IFERROR(__xludf.DUMMYFUNCTION("""COMPUTED_VALUE"""),5)</f>
        <v>5</v>
      </c>
      <c r="E177" s="21" t="str">
        <f ca="1">IFERROR(__xludf.DUMMYFUNCTION("""COMPUTED_VALUE"""),"25.51009-89.78142")</f>
        <v>25.51009-89.78142</v>
      </c>
      <c r="F177" s="21" t="str">
        <f ca="1">IFERROR(__xludf.DUMMYFUNCTION("""COMPUTED_VALUE"""),"মোঃ কালাম  ০১৩১৯৫৮৪৬৫")</f>
        <v>মোঃ কালাম  ০১৩১৯৫৮৪৬৫</v>
      </c>
      <c r="G17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7" s="21" t="str">
        <f ca="1">IFERROR(__xludf.DUMMYFUNCTION("""COMPUTED_VALUE"""),"দিপক দেব নাথ     ১৭৩৮৩৮৫৮১৯")</f>
        <v>দিপক দেব নাথ     ১৭৩৮৩৮৫৮১৯</v>
      </c>
      <c r="I177" s="21"/>
    </row>
    <row r="178" spans="1:9" ht="16.5" customHeight="1" x14ac:dyDescent="0.15">
      <c r="A178" s="25">
        <f ca="1">IFERROR(__xludf.DUMMYFUNCTION("""COMPUTED_VALUE"""),172)</f>
        <v>172</v>
      </c>
      <c r="B178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8" s="25">
        <f ca="1">IFERROR(__xludf.DUMMYFUNCTION("""COMPUTED_VALUE"""),5)</f>
        <v>5</v>
      </c>
      <c r="E178" s="25" t="str">
        <f ca="1">IFERROR(__xludf.DUMMYFUNCTION("""COMPUTED_VALUE"""),"25.50916-89.78147")</f>
        <v>25.50916-89.78147</v>
      </c>
      <c r="F178" s="25" t="str">
        <f ca="1">IFERROR(__xludf.DUMMYFUNCTION("""COMPUTED_VALUE"""),"মোঃ মর্জিনা খাতুন  ০১৯৩০৫৩২২১১৮")</f>
        <v>মোঃ মর্জিনা খাতুন  ০১৯৩০৫৩২২১১৮</v>
      </c>
      <c r="G17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8" s="25" t="str">
        <f ca="1">IFERROR(__xludf.DUMMYFUNCTION("""COMPUTED_VALUE"""),"দিপক দেব নাথ     ১৭৩৮৩৮৫৮১৯")</f>
        <v>দিপক দেব নাথ     ১৭৩৮৩৮৫৮১৯</v>
      </c>
      <c r="I178" s="25"/>
    </row>
    <row r="179" spans="1:9" ht="16.5" customHeight="1" x14ac:dyDescent="0.15">
      <c r="A179" s="21">
        <f ca="1">IFERROR(__xludf.DUMMYFUNCTION("""COMPUTED_VALUE"""),173)</f>
        <v>173</v>
      </c>
      <c r="B179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9" s="21">
        <f ca="1">IFERROR(__xludf.DUMMYFUNCTION("""COMPUTED_VALUE"""),5)</f>
        <v>5</v>
      </c>
      <c r="E179" s="21" t="str">
        <f ca="1">IFERROR(__xludf.DUMMYFUNCTION("""COMPUTED_VALUE"""),"25.51056-89.7821")</f>
        <v>25.51056-89.7821</v>
      </c>
      <c r="F179" s="21" t="str">
        <f ca="1">IFERROR(__xludf.DUMMYFUNCTION("""COMPUTED_VALUE"""),"মোছাঃ সাবিনা ইয়াসমিন  ০১৯৯৮২০৩৬০৪")</f>
        <v>মোছাঃ সাবিনা ইয়াসমিন  ০১৯৯৮২০৩৬০৪</v>
      </c>
      <c r="G17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9" s="21" t="str">
        <f ca="1">IFERROR(__xludf.DUMMYFUNCTION("""COMPUTED_VALUE"""),"দিপক দেব নাথ     ১৭৩৮৩৮৫৮১৯")</f>
        <v>দিপক দেব নাথ     ১৭৩৮৩৮৫৮১৯</v>
      </c>
      <c r="I179" s="21"/>
    </row>
    <row r="180" spans="1:9" ht="16.5" customHeight="1" x14ac:dyDescent="0.15">
      <c r="A180" s="25">
        <f ca="1">IFERROR(__xludf.DUMMYFUNCTION("""COMPUTED_VALUE"""),174)</f>
        <v>174</v>
      </c>
      <c r="B180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8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0" s="25">
        <f ca="1">IFERROR(__xludf.DUMMYFUNCTION("""COMPUTED_VALUE"""),5)</f>
        <v>5</v>
      </c>
      <c r="E180" s="25" t="str">
        <f ca="1">IFERROR(__xludf.DUMMYFUNCTION("""COMPUTED_VALUE"""),"25.51016-89.78296")</f>
        <v>25.51016-89.78296</v>
      </c>
      <c r="F180" s="25" t="str">
        <f ca="1">IFERROR(__xludf.DUMMYFUNCTION("""COMPUTED_VALUE"""),"মোঃ এরশাদুল হক  ০১৯৭৯৯৩৪৮৮৩")</f>
        <v>মোঃ এরশাদুল হক  ০১৯৭৯৯৩৪৮৮৩</v>
      </c>
      <c r="G18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0" s="25" t="str">
        <f ca="1">IFERROR(__xludf.DUMMYFUNCTION("""COMPUTED_VALUE"""),"দিপক দেব নাথ     ১৭৩৮৩৮৫৮১৯")</f>
        <v>দিপক দেব নাথ     ১৭৩৮৩৮৫৮১৯</v>
      </c>
      <c r="I180" s="25"/>
    </row>
    <row r="181" spans="1:9" ht="16.5" customHeight="1" x14ac:dyDescent="0.15">
      <c r="A181" s="21">
        <f ca="1">IFERROR(__xludf.DUMMYFUNCTION("""COMPUTED_VALUE"""),175)</f>
        <v>175</v>
      </c>
      <c r="B181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8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1" s="21">
        <f ca="1">IFERROR(__xludf.DUMMYFUNCTION("""COMPUTED_VALUE"""),5)</f>
        <v>5</v>
      </c>
      <c r="E181" s="21" t="str">
        <f ca="1">IFERROR(__xludf.DUMMYFUNCTION("""COMPUTED_VALUE"""),"25.51158-89.78213")</f>
        <v>25.51158-89.78213</v>
      </c>
      <c r="F181" s="21" t="str">
        <f ca="1">IFERROR(__xludf.DUMMYFUNCTION("""COMPUTED_VALUE"""),"মোঃ তোতা মিয়া ০১৭৪২৮৮২০৭৯")</f>
        <v>মোঃ তোতা মিয়া ০১৭৪২৮৮২০৭৯</v>
      </c>
      <c r="G18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1" s="21" t="str">
        <f ca="1">IFERROR(__xludf.DUMMYFUNCTION("""COMPUTED_VALUE"""),"দিপক দেব নাথ     ১৭৩৮৩৮৫৮১৯")</f>
        <v>দিপক দেব নাথ     ১৭৩৮৩৮৫৮১৯</v>
      </c>
      <c r="I181" s="21"/>
    </row>
    <row r="182" spans="1:9" ht="16.5" customHeight="1" x14ac:dyDescent="0.15">
      <c r="A182" s="25">
        <f ca="1">IFERROR(__xludf.DUMMYFUNCTION("""COMPUTED_VALUE"""),176)</f>
        <v>176</v>
      </c>
      <c r="B182" s="25" t="str">
        <f ca="1">IFERROR(__xludf.DUMMYFUNCTION("""COMPUTED_VALUE"""),"গ্রামঃ মন্ডলপাড়া, ইউনিয়নঃ কোদালকাটি, উপজেলাঃ চর রাজিবপুর, জেলাঃ কুড়িগ্রাম।")</f>
        <v>গ্রামঃ মন্ডলপাড়া, ইউনিয়নঃ কোদালকাটি, উপজেলাঃ চর রাজিবপুর, জেলাঃ কুড়িগ্রাম।</v>
      </c>
      <c r="C18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2" s="25">
        <f ca="1">IFERROR(__xludf.DUMMYFUNCTION("""COMPUTED_VALUE"""),5)</f>
        <v>5</v>
      </c>
      <c r="E182" s="25" t="str">
        <f ca="1">IFERROR(__xludf.DUMMYFUNCTION("""COMPUTED_VALUE"""),"25.50534-89.77894")</f>
        <v>25.50534-89.77894</v>
      </c>
      <c r="F182" s="25" t="str">
        <f ca="1">IFERROR(__xludf.DUMMYFUNCTION("""COMPUTED_VALUE"""),"মোছাঃ চায়না খাতুন  ০১৭৮০৪৫৮৮৬৪")</f>
        <v>মোছাঃ চায়না খাতুন  ০১৭৮০৪৫৮৮৬৪</v>
      </c>
      <c r="G18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2" s="25" t="str">
        <f ca="1">IFERROR(__xludf.DUMMYFUNCTION("""COMPUTED_VALUE"""),"দিপক দেব নাথ     ১৭৩৮৩৮৫৮১৯")</f>
        <v>দিপক দেব নাথ     ১৭৩৮৩৮৫৮১৯</v>
      </c>
      <c r="I182" s="25"/>
    </row>
    <row r="183" spans="1:9" ht="16.5" customHeight="1" x14ac:dyDescent="0.15">
      <c r="A183" s="21">
        <f ca="1">IFERROR(__xludf.DUMMYFUNCTION("""COMPUTED_VALUE"""),177)</f>
        <v>177</v>
      </c>
      <c r="B183" s="21" t="str">
        <f ca="1">IFERROR(__xludf.DUMMYFUNCTION("""COMPUTED_VALUE"""),"গ্রামঃ চর সাজাই সরকার পাড়া, ইউনিয়নঃ কোদালকাটি, উপজেলাঃ চর রাজিবপুর, জেলাঃ কুড়িগ্রাম।")</f>
        <v>গ্রামঃ চর সাজাই সরকার পাড়া, ইউনিয়নঃ কোদালকাটি, উপজেলাঃ চর রাজিবপুর, জেলাঃ কুড়িগ্রাম।</v>
      </c>
      <c r="C18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3" s="21">
        <f ca="1">IFERROR(__xludf.DUMMYFUNCTION("""COMPUTED_VALUE"""),5)</f>
        <v>5</v>
      </c>
      <c r="E183" s="21" t="str">
        <f ca="1">IFERROR(__xludf.DUMMYFUNCTION("""COMPUTED_VALUE"""),"25.484813-89.769911")</f>
        <v>25.484813-89.769911</v>
      </c>
      <c r="F183" s="21" t="str">
        <f ca="1">IFERROR(__xludf.DUMMYFUNCTION("""COMPUTED_VALUE"""),"মোঃ সিরাজুল ইসলাম  ০১৯৩১৪২১২৫৫")</f>
        <v>মোঃ সিরাজুল ইসলাম  ০১৯৩১৪২১২৫৫</v>
      </c>
      <c r="G18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3" s="21" t="str">
        <f ca="1">IFERROR(__xludf.DUMMYFUNCTION("""COMPUTED_VALUE"""),"দিপক দেব নাথ     ১৭৩৮৩৮৫৮১৯")</f>
        <v>দিপক দেব নাথ     ১৭৩৮৩৮৫৮১৯</v>
      </c>
      <c r="I183" s="21"/>
    </row>
    <row r="184" spans="1:9" ht="16.5" customHeight="1" x14ac:dyDescent="0.15">
      <c r="A184" s="25">
        <f ca="1">IFERROR(__xludf.DUMMYFUNCTION("""COMPUTED_VALUE"""),178)</f>
        <v>178</v>
      </c>
      <c r="B184" s="25" t="str">
        <f ca="1">IFERROR(__xludf.DUMMYFUNCTION("""COMPUTED_VALUE"""),"গ্রামঃ দক্ষিণ চর সাজাই পাখিউড়া, ইউনিয়নঃ কোদালকাটি, উপজেলাঃ চর রাজিবপুর, জেলাঃ কুড়িগ্রাম।")</f>
        <v>গ্রামঃ দক্ষিণ চর সাজাই পাখিউড়া, ইউনিয়নঃ কোদালকাটি, উপজেলাঃ চর রাজিবপুর, জেলাঃ কুড়িগ্রাম।</v>
      </c>
      <c r="C18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4" s="25">
        <f ca="1">IFERROR(__xludf.DUMMYFUNCTION("""COMPUTED_VALUE"""),5)</f>
        <v>5</v>
      </c>
      <c r="E184" s="25" t="str">
        <f ca="1">IFERROR(__xludf.DUMMYFUNCTION("""COMPUTED_VALUE"""),"25.472249-89.792834")</f>
        <v>25.472249-89.792834</v>
      </c>
      <c r="F184" s="25" t="str">
        <f ca="1">IFERROR(__xludf.DUMMYFUNCTION("""COMPUTED_VALUE"""),"মোঃ নজরুল ইসলাম  ০১৯৪৫৮০৪৮৬৫")</f>
        <v>মোঃ নজরুল ইসলাম  ০১৯৪৫৮০৪৮৬৫</v>
      </c>
      <c r="G18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4" s="25" t="str">
        <f ca="1">IFERROR(__xludf.DUMMYFUNCTION("""COMPUTED_VALUE"""),"দিপক দেব নাথ     ১৭৩৮৩৮৫৮১৯")</f>
        <v>দিপক দেব নাথ     ১৭৩৮৩৮৫৮১৯</v>
      </c>
      <c r="I184" s="25"/>
    </row>
    <row r="185" spans="1:9" ht="16.5" customHeight="1" x14ac:dyDescent="0.15">
      <c r="A185" s="21">
        <f ca="1">IFERROR(__xludf.DUMMYFUNCTION("""COMPUTED_VALUE"""),179)</f>
        <v>179</v>
      </c>
      <c r="B185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কুড়িগ্রা")</f>
        <v>গ্রামঃ পাটাধোয়া পাড়া, ইউনিয়নঃ মোহানগঞ্জ, উপজেলাঃ চর রাজিবপুর, জেলাঃ কুড়িগ্রা</v>
      </c>
      <c r="C18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5" s="21">
        <f ca="1">IFERROR(__xludf.DUMMYFUNCTION("""COMPUTED_VALUE"""),5)</f>
        <v>5</v>
      </c>
      <c r="E185" s="21" t="str">
        <f ca="1">IFERROR(__xludf.DUMMYFUNCTION("""COMPUTED_VALUE"""),"25.44297-89.79102")</f>
        <v>25.44297-89.79102</v>
      </c>
      <c r="F185" s="21" t="str">
        <f ca="1">IFERROR(__xludf.DUMMYFUNCTION("""COMPUTED_VALUE"""),"মোছাঃ আফরোজা খাতুন  ০১৮৪৫৫৬৪৬৫৫")</f>
        <v>মোছাঃ আফরোজা খাতুন  ০১৮৪৫৫৬৪৬৫৫</v>
      </c>
      <c r="G18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5" s="21" t="str">
        <f ca="1">IFERROR(__xludf.DUMMYFUNCTION("""COMPUTED_VALUE"""),"দিপক দেব নাথ     ১৭৩৮৩৮৫৮১৯")</f>
        <v>দিপক দেব নাথ     ১৭৩৮৩৮৫৮১৯</v>
      </c>
      <c r="I185" s="21"/>
    </row>
    <row r="186" spans="1:9" ht="16.5" customHeight="1" x14ac:dyDescent="0.15">
      <c r="A186" s="25">
        <f ca="1">IFERROR(__xludf.DUMMYFUNCTION("""COMPUTED_VALUE"""),180)</f>
        <v>180</v>
      </c>
      <c r="B186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কুড়িগ্রা")</f>
        <v>গ্রামঃ পাটাধোয়া পাড়া, ইউনিয়নঃ মোহানগঞ্জ, উপজেলাঃ চর রাজিবপুর, জেলাঃ কুড়িগ্রা</v>
      </c>
      <c r="C18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6" s="25">
        <f ca="1">IFERROR(__xludf.DUMMYFUNCTION("""COMPUTED_VALUE"""),5)</f>
        <v>5</v>
      </c>
      <c r="E186" s="25" t="str">
        <f ca="1">IFERROR(__xludf.DUMMYFUNCTION("""COMPUTED_VALUE"""),"25.44292-89.791")</f>
        <v>25.44292-89.791</v>
      </c>
      <c r="F186" s="25" t="str">
        <f ca="1">IFERROR(__xludf.DUMMYFUNCTION("""COMPUTED_VALUE"""),"মোঃ হাফিজুর রহমান  ০১৭৪২৭৩৭৭৭১")</f>
        <v>মোঃ হাফিজুর রহমান  ০১৭৪২৭৩৭৭৭১</v>
      </c>
      <c r="G18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6" s="25" t="str">
        <f ca="1">IFERROR(__xludf.DUMMYFUNCTION("""COMPUTED_VALUE"""),"দিপক দেব নাথ     ১৭৩৮৩৮৫৮১৯")</f>
        <v>দিপক দেব নাথ     ১৭৩৮৩৮৫৮১৯</v>
      </c>
      <c r="I186" s="25"/>
    </row>
    <row r="187" spans="1:9" ht="16.5" customHeight="1" x14ac:dyDescent="0.15">
      <c r="A187" s="21">
        <f ca="1">IFERROR(__xludf.DUMMYFUNCTION("""COMPUTED_VALUE"""),181)</f>
        <v>181</v>
      </c>
      <c r="B187" s="21" t="str">
        <f ca="1">IFERROR(__xludf.DUMMYFUNCTION("""COMPUTED_VALUE"""),"গ্রামঃ তেররশি পাড়া, ইউনিয়নঃ মোহানগঞ্জ, উপজেলাঃ চর রাজিবপুর, জেলাঃ কুড়িগ্রাম।")</f>
        <v>গ্রামঃ তেররশি পাড়া, ইউনিয়নঃ মোহানগঞ্জ, উপজেলাঃ চর রাজিবপুর, জেলাঃ কুড়িগ্রাম।</v>
      </c>
      <c r="C18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7" s="21">
        <f ca="1">IFERROR(__xludf.DUMMYFUNCTION("""COMPUTED_VALUE"""),5)</f>
        <v>5</v>
      </c>
      <c r="E187" s="21" t="str">
        <f ca="1">IFERROR(__xludf.DUMMYFUNCTION("""COMPUTED_VALUE"""),"25.44276-89.79085")</f>
        <v>25.44276-89.79085</v>
      </c>
      <c r="F187" s="21" t="str">
        <f ca="1">IFERROR(__xludf.DUMMYFUNCTION("""COMPUTED_VALUE"""),"মোঃ হাফিজুর রহমান  ০১৮১০৪২৮৮৫৩")</f>
        <v>মোঃ হাফিজুর রহমান  ০১৮১০৪২৮৮৫৩</v>
      </c>
      <c r="G18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7" s="21" t="str">
        <f ca="1">IFERROR(__xludf.DUMMYFUNCTION("""COMPUTED_VALUE"""),"দিপক দেব নাথ     ১৭৩৮৩৮৫৮১৯")</f>
        <v>দিপক দেব নাথ     ১৭৩৮৩৮৫৮১৯</v>
      </c>
      <c r="I187" s="21"/>
    </row>
    <row r="188" spans="1:9" ht="16.5" customHeight="1" x14ac:dyDescent="0.15">
      <c r="A188" s="25">
        <f ca="1">IFERROR(__xludf.DUMMYFUNCTION("""COMPUTED_VALUE"""),182)</f>
        <v>182</v>
      </c>
      <c r="B188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8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8" s="25">
        <f ca="1">IFERROR(__xludf.DUMMYFUNCTION("""COMPUTED_VALUE"""),5)</f>
        <v>5</v>
      </c>
      <c r="E188" s="25" t="str">
        <f ca="1">IFERROR(__xludf.DUMMYFUNCTION("""COMPUTED_VALUE"""),"25.44268-89.79083")</f>
        <v>25.44268-89.79083</v>
      </c>
      <c r="F188" s="25" t="str">
        <f ca="1">IFERROR(__xludf.DUMMYFUNCTION("""COMPUTED_VALUE"""),"মোঃ ফরহাদ হোসেন  ০১৮২৩৩০৫৪৬৪")</f>
        <v>মোঃ ফরহাদ হোসেন  ০১৮২৩৩০৫৪৬৪</v>
      </c>
      <c r="G18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8" s="25" t="str">
        <f ca="1">IFERROR(__xludf.DUMMYFUNCTION("""COMPUTED_VALUE"""),"দিপক দেব নাথ     ১৭৩৮৩৮৫৮১৯")</f>
        <v>দিপক দেব নাথ     ১৭৩৮৩৮৫৮১৯</v>
      </c>
      <c r="I188" s="25"/>
    </row>
    <row r="189" spans="1:9" ht="16.5" customHeight="1" x14ac:dyDescent="0.15">
      <c r="A189" s="21">
        <f ca="1">IFERROR(__xludf.DUMMYFUNCTION("""COMPUTED_VALUE"""),183)</f>
        <v>183</v>
      </c>
      <c r="B189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8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9" s="21">
        <f ca="1">IFERROR(__xludf.DUMMYFUNCTION("""COMPUTED_VALUE"""),5)</f>
        <v>5</v>
      </c>
      <c r="E189" s="21" t="str">
        <f ca="1">IFERROR(__xludf.DUMMYFUNCTION("""COMPUTED_VALUE"""),"25.44275-89.79072")</f>
        <v>25.44275-89.79072</v>
      </c>
      <c r="F189" s="21" t="str">
        <f ca="1">IFERROR(__xludf.DUMMYFUNCTION("""COMPUTED_VALUE"""),"মোছাঃ সাজেদা খাতুন  ০১৮৭৮৪৫১৩৮৭")</f>
        <v>মোছাঃ সাজেদা খাতুন  ০১৮৭৮৪৫১৩৮৭</v>
      </c>
      <c r="G18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9" s="21" t="str">
        <f ca="1">IFERROR(__xludf.DUMMYFUNCTION("""COMPUTED_VALUE"""),"দিপক দেব নাথ     ১৭৩৮৩৮৫৮১৯")</f>
        <v>দিপক দেব নাথ     ১৭৩৮৩৮৫৮১৯</v>
      </c>
      <c r="I189" s="21"/>
    </row>
    <row r="190" spans="1:9" ht="16.5" customHeight="1" x14ac:dyDescent="0.15">
      <c r="A190" s="25">
        <f ca="1">IFERROR(__xludf.DUMMYFUNCTION("""COMPUTED_VALUE"""),184)</f>
        <v>184</v>
      </c>
      <c r="B190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0" s="25">
        <f ca="1">IFERROR(__xludf.DUMMYFUNCTION("""COMPUTED_VALUE"""),5)</f>
        <v>5</v>
      </c>
      <c r="E190" s="25" t="str">
        <f ca="1">IFERROR(__xludf.DUMMYFUNCTION("""COMPUTED_VALUE"""),"25.40475-89.76402")</f>
        <v>25.40475-89.76402</v>
      </c>
      <c r="F190" s="25" t="str">
        <f ca="1">IFERROR(__xludf.DUMMYFUNCTION("""COMPUTED_VALUE"""),"মোঃ এরশাদ হোসেন  ০১৩২৫১২৫৮১৭")</f>
        <v>মোঃ এরশাদ হোসেন  ০১৩২৫১২৫৮১৭</v>
      </c>
      <c r="G19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0" s="25" t="str">
        <f ca="1">IFERROR(__xludf.DUMMYFUNCTION("""COMPUTED_VALUE"""),"দিপক দেব নাথ     ১৭৩৮৩৮৫৮১৯")</f>
        <v>দিপক দেব নাথ     ১৭৩৮৩৮৫৮১৯</v>
      </c>
      <c r="I190" s="25"/>
    </row>
    <row r="191" spans="1:9" ht="16.5" customHeight="1" x14ac:dyDescent="0.15">
      <c r="A191" s="21">
        <f ca="1">IFERROR(__xludf.DUMMYFUNCTION("""COMPUTED_VALUE"""),185)</f>
        <v>185</v>
      </c>
      <c r="B19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1" s="21">
        <f ca="1">IFERROR(__xludf.DUMMYFUNCTION("""COMPUTED_VALUE"""),5)</f>
        <v>5</v>
      </c>
      <c r="E191" s="21" t="str">
        <f ca="1">IFERROR(__xludf.DUMMYFUNCTION("""COMPUTED_VALUE"""),"25.40475-89.76399")</f>
        <v>25.40475-89.76399</v>
      </c>
      <c r="F191" s="21" t="str">
        <f ca="1">IFERROR(__xludf.DUMMYFUNCTION("""COMPUTED_VALUE"""),"মোঃ মিজানুর রহমান  ০১৭২১২১৭৬১৮")</f>
        <v>মোঃ মিজানুর রহমান  ০১৭২১২১৭৬১৮</v>
      </c>
      <c r="G19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1" s="21" t="str">
        <f ca="1">IFERROR(__xludf.DUMMYFUNCTION("""COMPUTED_VALUE"""),"দিপক দেব নাথ     ১৭৩৮৩৮৫৮১৯")</f>
        <v>দিপক দেব নাথ     ১৭৩৮৩৮৫৮১৯</v>
      </c>
      <c r="I191" s="21"/>
    </row>
    <row r="192" spans="1:9" ht="16.5" customHeight="1" x14ac:dyDescent="0.15">
      <c r="A192" s="25">
        <f ca="1">IFERROR(__xludf.DUMMYFUNCTION("""COMPUTED_VALUE"""),186)</f>
        <v>186</v>
      </c>
      <c r="B192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2" s="25">
        <f ca="1">IFERROR(__xludf.DUMMYFUNCTION("""COMPUTED_VALUE"""),5)</f>
        <v>5</v>
      </c>
      <c r="E192" s="25" t="str">
        <f ca="1">IFERROR(__xludf.DUMMYFUNCTION("""COMPUTED_VALUE"""),"25.40472-89.76398")</f>
        <v>25.40472-89.76398</v>
      </c>
      <c r="F192" s="25" t="str">
        <f ca="1">IFERROR(__xludf.DUMMYFUNCTION("""COMPUTED_VALUE"""),"মোঃ নুরজাহান  ০১৮৭৮৪৪৩৯৯৩")</f>
        <v>মোঃ নুরজাহান  ০১৮৭৮৪৪৩৯৯৩</v>
      </c>
      <c r="G192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2" s="25" t="str">
        <f ca="1">IFERROR(__xludf.DUMMYFUNCTION("""COMPUTED_VALUE"""),"দিপক দেব নাথ     ১৭৩৮৩৮৫৮১৯")</f>
        <v>দিপক দেব নাথ     ১৭৩৮৩৮৫৮১৯</v>
      </c>
      <c r="I192" s="25"/>
    </row>
    <row r="193" spans="1:9" ht="16.5" customHeight="1" x14ac:dyDescent="0.15">
      <c r="A193" s="21">
        <f ca="1">IFERROR(__xludf.DUMMYFUNCTION("""COMPUTED_VALUE"""),187)</f>
        <v>187</v>
      </c>
      <c r="B193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3" s="21">
        <f ca="1">IFERROR(__xludf.DUMMYFUNCTION("""COMPUTED_VALUE"""),5)</f>
        <v>5</v>
      </c>
      <c r="E193" s="21" t="str">
        <f ca="1">IFERROR(__xludf.DUMMYFUNCTION("""COMPUTED_VALUE"""),"25.40472-89.76397")</f>
        <v>25.40472-89.76397</v>
      </c>
      <c r="F193" s="21" t="str">
        <f ca="1">IFERROR(__xludf.DUMMYFUNCTION("""COMPUTED_VALUE"""),"মোঃ ফরিদুল ইসলাম ০১৩২৫১২৫৮১৭")</f>
        <v>মোঃ ফরিদুল ইসলাম ০১৩২৫১২৫৮১৭</v>
      </c>
      <c r="G193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3" s="21" t="str">
        <f ca="1">IFERROR(__xludf.DUMMYFUNCTION("""COMPUTED_VALUE"""),"দিপক দেব নাথ     ১৭৩৮৩৮৫৮১৯")</f>
        <v>দিপক দেব নাথ     ১৭৩৮৩৮৫৮১৯</v>
      </c>
      <c r="I193" s="21"/>
    </row>
    <row r="194" spans="1:9" ht="16.5" customHeight="1" x14ac:dyDescent="0.15">
      <c r="A194" s="25">
        <f ca="1">IFERROR(__xludf.DUMMYFUNCTION("""COMPUTED_VALUE"""),188)</f>
        <v>188</v>
      </c>
      <c r="B194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4" s="25">
        <f ca="1">IFERROR(__xludf.DUMMYFUNCTION("""COMPUTED_VALUE"""),5)</f>
        <v>5</v>
      </c>
      <c r="E194" s="25" t="str">
        <f ca="1">IFERROR(__xludf.DUMMYFUNCTION("""COMPUTED_VALUE"""),"25.40477-89.76394")</f>
        <v>25.40477-89.76394</v>
      </c>
      <c r="F194" s="25" t="str">
        <f ca="1">IFERROR(__xludf.DUMMYFUNCTION("""COMPUTED_VALUE"""),"মোছাঃ আলুফা ০১৭২১২১৭৬১৮")</f>
        <v>মোছাঃ আলুফা ০১৭২১২১৭৬১৮</v>
      </c>
      <c r="G194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4" s="25" t="str">
        <f ca="1">IFERROR(__xludf.DUMMYFUNCTION("""COMPUTED_VALUE"""),"দিপক দেব নাথ     ১৭৩৮৩৮৫৮১৯")</f>
        <v>দিপক দেব নাথ     ১৭৩৮৩৮৫৮১৯</v>
      </c>
      <c r="I194" s="25"/>
    </row>
    <row r="195" spans="1:9" ht="16.5" customHeight="1" x14ac:dyDescent="0.15">
      <c r="A195" s="21">
        <f ca="1">IFERROR(__xludf.DUMMYFUNCTION("""COMPUTED_VALUE"""),189)</f>
        <v>189</v>
      </c>
      <c r="B195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5" s="21">
        <f ca="1">IFERROR(__xludf.DUMMYFUNCTION("""COMPUTED_VALUE"""),5)</f>
        <v>5</v>
      </c>
      <c r="E195" s="21" t="str">
        <f ca="1">IFERROR(__xludf.DUMMYFUNCTION("""COMPUTED_VALUE"""),"25.40479-89.76355")</f>
        <v>25.40479-89.76355</v>
      </c>
      <c r="F195" s="21" t="str">
        <f ca="1">IFERROR(__xludf.DUMMYFUNCTION("""COMPUTED_VALUE"""),"মোছাঃ জাহানারা খাতুন  ০১৮৭৮৪৪৩৯৯৩")</f>
        <v>মোছাঃ জাহানারা খাতুন  ০১৮৭৮৪৪৩৯৯৩</v>
      </c>
      <c r="G19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5" s="21" t="str">
        <f ca="1">IFERROR(__xludf.DUMMYFUNCTION("""COMPUTED_VALUE"""),"দিপক দেব নাথ     ১৭৩৮৩৮৫৮১৯")</f>
        <v>দিপক দেব নাথ     ১৭৩৮৩৮৫৮১৯</v>
      </c>
      <c r="I195" s="21"/>
    </row>
    <row r="196" spans="1:9" ht="16.5" customHeight="1" x14ac:dyDescent="0.15">
      <c r="A196" s="25">
        <f ca="1">IFERROR(__xludf.DUMMYFUNCTION("""COMPUTED_VALUE"""),190)</f>
        <v>190</v>
      </c>
      <c r="B196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6" s="25">
        <f ca="1">IFERROR(__xludf.DUMMYFUNCTION("""COMPUTED_VALUE"""),5)</f>
        <v>5</v>
      </c>
      <c r="E196" s="25" t="str">
        <f ca="1">IFERROR(__xludf.DUMMYFUNCTION("""COMPUTED_VALUE"""),"25.40477-89.76394")</f>
        <v>25.40477-89.76394</v>
      </c>
      <c r="F196" s="25" t="str">
        <f ca="1">IFERROR(__xludf.DUMMYFUNCTION("""COMPUTED_VALUE"""),"মোঃ চান মিয়া  ০১৯৮২৯১৫৯৭৫")</f>
        <v>মোঃ চান মিয়া  ০১৯৮২৯১৫৯৭৫</v>
      </c>
      <c r="G19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6" s="25" t="str">
        <f ca="1">IFERROR(__xludf.DUMMYFUNCTION("""COMPUTED_VALUE"""),"দিপক দেব নাথ     ১৭৩৮৩৮৫৮১৯")</f>
        <v>দিপক দেব নাথ     ১৭৩৮৩৮৫৮১৯</v>
      </c>
      <c r="I196" s="25"/>
    </row>
    <row r="197" spans="1:9" ht="16.5" customHeight="1" x14ac:dyDescent="0.15">
      <c r="A197" s="21">
        <f ca="1">IFERROR(__xludf.DUMMYFUNCTION("""COMPUTED_VALUE"""),191)</f>
        <v>191</v>
      </c>
      <c r="B197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7" s="21">
        <f ca="1">IFERROR(__xludf.DUMMYFUNCTION("""COMPUTED_VALUE"""),5)</f>
        <v>5</v>
      </c>
      <c r="E197" s="21" t="str">
        <f ca="1">IFERROR(__xludf.DUMMYFUNCTION("""COMPUTED_VALUE"""),"25.40468-89.76395")</f>
        <v>25.40468-89.76395</v>
      </c>
      <c r="F197" s="21" t="str">
        <f ca="1">IFERROR(__xludf.DUMMYFUNCTION("""COMPUTED_VALUE"""),"মোছাঃ আসমা খাতুন ০১৩০৫৪৫৫৮৪২")</f>
        <v>মোছাঃ আসমা খাতুন ০১৩০৫৪৫৫৮৪২</v>
      </c>
      <c r="G19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7" s="21" t="str">
        <f ca="1">IFERROR(__xludf.DUMMYFUNCTION("""COMPUTED_VALUE"""),"দিপক দেব নাথ     ১৭৩৮৩৮৫৮১৯")</f>
        <v>দিপক দেব নাথ     ১৭৩৮৩৮৫৮১৯</v>
      </c>
      <c r="I197" s="21"/>
    </row>
    <row r="198" spans="1:9" ht="16.5" customHeight="1" x14ac:dyDescent="0.15">
      <c r="A198" s="25">
        <f ca="1">IFERROR(__xludf.DUMMYFUNCTION("""COMPUTED_VALUE"""),192)</f>
        <v>192</v>
      </c>
      <c r="B198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8" s="25">
        <f ca="1">IFERROR(__xludf.DUMMYFUNCTION("""COMPUTED_VALUE"""),5)</f>
        <v>5</v>
      </c>
      <c r="E198" s="25" t="str">
        <f ca="1">IFERROR(__xludf.DUMMYFUNCTION("""COMPUTED_VALUE"""),"25.40468-89.76395")</f>
        <v>25.40468-89.76395</v>
      </c>
      <c r="F198" s="25" t="str">
        <f ca="1">IFERROR(__xludf.DUMMYFUNCTION("""COMPUTED_VALUE"""),"মোছাঃ খইফুল নেছা ০১৭৮৭১১৩৮৪০")</f>
        <v>মোছাঃ খইফুল নেছা ০১৭৮৭১১৩৮৪০</v>
      </c>
      <c r="G19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8" s="25" t="str">
        <f ca="1">IFERROR(__xludf.DUMMYFUNCTION("""COMPUTED_VALUE"""),"দিপক দেব নাথ     ১৭৩৮৩৮৫৮১৯")</f>
        <v>দিপক দেব নাথ     ১৭৩৮৩৮৫৮১৯</v>
      </c>
      <c r="I198" s="25"/>
    </row>
    <row r="199" spans="1:9" ht="16.5" customHeight="1" x14ac:dyDescent="0.15">
      <c r="A199" s="21">
        <f ca="1">IFERROR(__xludf.DUMMYFUNCTION("""COMPUTED_VALUE"""),193)</f>
        <v>193</v>
      </c>
      <c r="B199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9" s="21">
        <f ca="1">IFERROR(__xludf.DUMMYFUNCTION("""COMPUTED_VALUE"""),5)</f>
        <v>5</v>
      </c>
      <c r="E199" s="21" t="str">
        <f ca="1">IFERROR(__xludf.DUMMYFUNCTION("""COMPUTED_VALUE"""),"25.40475-89.76403")</f>
        <v>25.40475-89.76403</v>
      </c>
      <c r="F199" s="21" t="str">
        <f ca="1">IFERROR(__xludf.DUMMYFUNCTION("""COMPUTED_VALUE"""),"মোঃ আজাহার আলী  ০১৯২১২১৩৫৭০")</f>
        <v>মোঃ আজাহার আলী  ০১৯২১২১৩৫৭০</v>
      </c>
      <c r="G19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9" s="21" t="str">
        <f ca="1">IFERROR(__xludf.DUMMYFUNCTION("""COMPUTED_VALUE"""),"দিপক দেব নাথ     ১৭৩৮৩৮৫৮১৯")</f>
        <v>দিপক দেব নাথ     ১৭৩৮৩৮৫৮১৯</v>
      </c>
      <c r="I199" s="21"/>
    </row>
    <row r="200" spans="1:9" ht="16.5" customHeight="1" x14ac:dyDescent="0.15">
      <c r="A200" s="25">
        <f ca="1">IFERROR(__xludf.DUMMYFUNCTION("""COMPUTED_VALUE"""),194)</f>
        <v>194</v>
      </c>
      <c r="B200" s="25" t="str">
        <f ca="1">IFERROR(__xludf.DUMMYFUNCTION("""COMPUTED_VALUE"""),"গ্রামঃ মাষ্টারপাড়া, ইউনিয়নঃ মোহানগঞ্জ, উপজেলাঃ চর রাজিবপুর, জেলাঃ কুড়িগ্রাম।")</f>
        <v>গ্রামঃ মাষ্টারপাড়া, ইউনিয়নঃ মোহানগঞ্জ, উপজেলাঃ চর রাজিবপুর, জেলাঃ কুড়িগ্রাম।</v>
      </c>
      <c r="C20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0" s="25">
        <f ca="1">IFERROR(__xludf.DUMMYFUNCTION("""COMPUTED_VALUE"""),5)</f>
        <v>5</v>
      </c>
      <c r="E200" s="25" t="str">
        <f ca="1">IFERROR(__xludf.DUMMYFUNCTION("""COMPUTED_VALUE"""),"25.44262-89.79068")</f>
        <v>25.44262-89.79068</v>
      </c>
      <c r="F200" s="25" t="str">
        <f ca="1">IFERROR(__xludf.DUMMYFUNCTION("""COMPUTED_VALUE"""),"মোঃ আঃ রশিদ  ০১৭৭৭৮৭০৭৫৮")</f>
        <v>মোঃ আঃ রশিদ  ০১৭৭৭৮৭০৭৫৮</v>
      </c>
      <c r="G20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0" s="25" t="str">
        <f ca="1">IFERROR(__xludf.DUMMYFUNCTION("""COMPUTED_VALUE"""),"দিপক দেব নাথ     ১৭৩৮৩৮৫৮১৯")</f>
        <v>দিপক দেব নাথ     ১৭৩৮৩৮৫৮১৯</v>
      </c>
      <c r="I200" s="25"/>
    </row>
    <row r="201" spans="1:9" ht="16.5" customHeight="1" x14ac:dyDescent="0.15">
      <c r="A201" s="21">
        <f ca="1">IFERROR(__xludf.DUMMYFUNCTION("""COMPUTED_VALUE"""),195)</f>
        <v>195</v>
      </c>
      <c r="B20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1" s="21">
        <f ca="1">IFERROR(__xludf.DUMMYFUNCTION("""COMPUTED_VALUE"""),5)</f>
        <v>5</v>
      </c>
      <c r="E201" s="21" t="str">
        <f ca="1">IFERROR(__xludf.DUMMYFUNCTION("""COMPUTED_VALUE"""),"25.44292-89.7908")</f>
        <v>25.44292-89.7908</v>
      </c>
      <c r="F201" s="21" t="str">
        <f ca="1">IFERROR(__xludf.DUMMYFUNCTION("""COMPUTED_VALUE"""),"মোছাঃ লাকী পাভীন ০১৮৭৯৫৬০৫৮২")</f>
        <v>মোছাঃ লাকী পাভীন ০১৮৭৯৫৬০৫৮২</v>
      </c>
      <c r="G20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1" s="21" t="str">
        <f ca="1">IFERROR(__xludf.DUMMYFUNCTION("""COMPUTED_VALUE"""),"দিপক দেব নাথ     ১৭৩৮৩৮৫৮১৯")</f>
        <v>দিপক দেব নাথ     ১৭৩৮৩৮৫৮১৯</v>
      </c>
      <c r="I201" s="21"/>
    </row>
    <row r="202" spans="1:9" ht="16.5" customHeight="1" x14ac:dyDescent="0.15">
      <c r="A202" s="25">
        <f ca="1">IFERROR(__xludf.DUMMYFUNCTION("""COMPUTED_VALUE"""),196)</f>
        <v>196</v>
      </c>
      <c r="B202" s="25" t="str">
        <f ca="1">IFERROR(__xludf.DUMMYFUNCTION("""COMPUTED_VALUE"""),"গ্রামঃ সরকারপাড়া, ইউনিয়নঃ মোহানগঞ্জ, উপজেলাঃ চর রাজিবপুর, জেলাঃ কুড়িগ্রাম।")</f>
        <v>গ্রামঃ সরকারপাড়া, ইউনিয়নঃ মোহানগঞ্জ, উপজেলাঃ চর রাজিবপুর, জেলাঃ কুড়িগ্রাম।</v>
      </c>
      <c r="C20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2" s="25">
        <f ca="1">IFERROR(__xludf.DUMMYFUNCTION("""COMPUTED_VALUE"""),5)</f>
        <v>5</v>
      </c>
      <c r="E202" s="25" t="str">
        <f ca="1">IFERROR(__xludf.DUMMYFUNCTION("""COMPUTED_VALUE"""),"25.44295-89.79082")</f>
        <v>25.44295-89.79082</v>
      </c>
      <c r="F202" s="25" t="str">
        <f ca="1">IFERROR(__xludf.DUMMYFUNCTION("""COMPUTED_VALUE"""),"মোঃ এরশাদুল হক ০১৭৯৪৪৭৮৯৬৩")</f>
        <v>মোঃ এরশাদুল হক ০১৭৯৪৪৭৮৯৬৩</v>
      </c>
      <c r="G202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2" s="25" t="str">
        <f ca="1">IFERROR(__xludf.DUMMYFUNCTION("""COMPUTED_VALUE"""),"দিপক দেব নাথ     ১৭৩৮৩৮৫৮১৯")</f>
        <v>দিপক দেব নাথ     ১৭৩৮৩৮৫৮১৯</v>
      </c>
      <c r="I202" s="25"/>
    </row>
    <row r="203" spans="1:9" ht="16.5" customHeight="1" x14ac:dyDescent="0.15">
      <c r="A203" s="21">
        <f ca="1">IFERROR(__xludf.DUMMYFUNCTION("""COMPUTED_VALUE"""),197)</f>
        <v>197</v>
      </c>
      <c r="B203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3" s="21">
        <f ca="1">IFERROR(__xludf.DUMMYFUNCTION("""COMPUTED_VALUE"""),5)</f>
        <v>5</v>
      </c>
      <c r="E203" s="21" t="str">
        <f ca="1">IFERROR(__xludf.DUMMYFUNCTION("""COMPUTED_VALUE"""),"25.4048-89.76387")</f>
        <v>25.4048-89.76387</v>
      </c>
      <c r="F203" s="21" t="str">
        <f ca="1">IFERROR(__xludf.DUMMYFUNCTION("""COMPUTED_VALUE"""),"মোঃ জাকিরুল ইসলাম  ০১৭৩১৫৭২৭১৮")</f>
        <v>মোঃ জাকিরুল ইসলাম  ০১৭৩১৫৭২৭১৮</v>
      </c>
      <c r="G203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3" s="21" t="str">
        <f ca="1">IFERROR(__xludf.DUMMYFUNCTION("""COMPUTED_VALUE"""),"দিপক দেব নাথ     ১৭৩৮৩৮৫৮১৯")</f>
        <v>দিপক দেব নাথ     ১৭৩৮৩৮৫৮১৯</v>
      </c>
      <c r="I203" s="21"/>
    </row>
    <row r="204" spans="1:9" ht="16.5" customHeight="1" x14ac:dyDescent="0.15">
      <c r="A204" s="25">
        <f ca="1">IFERROR(__xludf.DUMMYFUNCTION("""COMPUTED_VALUE"""),198)</f>
        <v>198</v>
      </c>
      <c r="B204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4" s="25">
        <f ca="1">IFERROR(__xludf.DUMMYFUNCTION("""COMPUTED_VALUE"""),5)</f>
        <v>5</v>
      </c>
      <c r="E204" s="25" t="str">
        <f ca="1">IFERROR(__xludf.DUMMYFUNCTION("""COMPUTED_VALUE"""),"25.40479-89.76355")</f>
        <v>25.40479-89.76355</v>
      </c>
      <c r="F204" s="25" t="str">
        <f ca="1">IFERROR(__xludf.DUMMYFUNCTION("""COMPUTED_VALUE"""),"মোঃ আমিনুল ইসলাম ০১৭৯৬৪৫০৯২২")</f>
        <v>মোঃ আমিনুল ইসলাম ০১৭৯৬৪৫০৯২২</v>
      </c>
      <c r="G204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4" s="25" t="str">
        <f ca="1">IFERROR(__xludf.DUMMYFUNCTION("""COMPUTED_VALUE"""),"দিপক দেব নাথ     ১৭৩৮৩৮৫৮১৯")</f>
        <v>দিপক দেব নাথ     ১৭৩৮৩৮৫৮১৯</v>
      </c>
      <c r="I204" s="25"/>
    </row>
    <row r="205" spans="1:9" ht="16.5" customHeight="1" x14ac:dyDescent="0.15">
      <c r="A205" s="21">
        <f ca="1">IFERROR(__xludf.DUMMYFUNCTION("""COMPUTED_VALUE"""),199)</f>
        <v>199</v>
      </c>
      <c r="B205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5" s="21">
        <f ca="1">IFERROR(__xludf.DUMMYFUNCTION("""COMPUTED_VALUE"""),5)</f>
        <v>5</v>
      </c>
      <c r="E205" s="21" t="str">
        <f ca="1">IFERROR(__xludf.DUMMYFUNCTION("""COMPUTED_VALUE"""),"25.45156-89.81366")</f>
        <v>25.45156-89.81366</v>
      </c>
      <c r="F205" s="21" t="str">
        <f ca="1">IFERROR(__xludf.DUMMYFUNCTION("""COMPUTED_VALUE"""),"মোঃ নাসির আহমেদ ০১৭০০৬৩২৩১০")</f>
        <v>মোঃ নাসির আহমেদ ০১৭০০৬৩২৩১০</v>
      </c>
      <c r="G20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5" s="21" t="str">
        <f ca="1">IFERROR(__xludf.DUMMYFUNCTION("""COMPUTED_VALUE"""),"দিপক দেব নাথ     ১৭৩৮৩৮৫৮১৯")</f>
        <v>দিপক দেব নাথ     ১৭৩৮৩৮৫৮১৯</v>
      </c>
      <c r="I205" s="21"/>
    </row>
    <row r="206" spans="1:9" ht="16.5" customHeight="1" x14ac:dyDescent="0.15">
      <c r="A206" s="25">
        <f ca="1">IFERROR(__xludf.DUMMYFUNCTION("""COMPUTED_VALUE"""),200)</f>
        <v>200</v>
      </c>
      <c r="B206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6" s="25">
        <f ca="1">IFERROR(__xludf.DUMMYFUNCTION("""COMPUTED_VALUE"""),5)</f>
        <v>5</v>
      </c>
      <c r="E206" s="25" t="str">
        <f ca="1">IFERROR(__xludf.DUMMYFUNCTION("""COMPUTED_VALUE"""),"25.44277-89.78998")</f>
        <v>25.44277-89.78998</v>
      </c>
      <c r="F206" s="25" t="str">
        <f ca="1">IFERROR(__xludf.DUMMYFUNCTION("""COMPUTED_VALUE"""),"মোঃ সোলায়মান হোসেন ০১৭৯৬৬৯৩০৯২")</f>
        <v>মোঃ সোলায়মান হোসেন ০১৭৯৬৬৯৩০৯২</v>
      </c>
      <c r="G20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6" s="25" t="str">
        <f ca="1">IFERROR(__xludf.DUMMYFUNCTION("""COMPUTED_VALUE"""),"দিপক দেব নাথ     ১৭৩৮৩৮৫৮১৯")</f>
        <v>দিপক দেব নাথ     ১৭৩৮৩৮৫৮১৯</v>
      </c>
      <c r="I206" s="25"/>
    </row>
    <row r="207" spans="1:9" ht="16.5" customHeight="1" x14ac:dyDescent="0.15">
      <c r="A207" s="21">
        <f ca="1">IFERROR(__xludf.DUMMYFUNCTION("""COMPUTED_VALUE"""),201)</f>
        <v>201</v>
      </c>
      <c r="B207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7" s="21">
        <f ca="1">IFERROR(__xludf.DUMMYFUNCTION("""COMPUTED_VALUE"""),5)</f>
        <v>5</v>
      </c>
      <c r="E207" s="21" t="str">
        <f ca="1">IFERROR(__xludf.DUMMYFUNCTION("""COMPUTED_VALUE"""),"25.44267-89.79017")</f>
        <v>25.44267-89.79017</v>
      </c>
      <c r="F207" s="21" t="str">
        <f ca="1">IFERROR(__xludf.DUMMYFUNCTION("""COMPUTED_VALUE"""),"আব্দুল্লাহ আল নোমান ০১৯৪৬৭৭৬২১০")</f>
        <v>আব্দুল্লাহ আল নোমান ০১৯৪৬৭৭৬২১০</v>
      </c>
      <c r="G20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7" s="21" t="str">
        <f ca="1">IFERROR(__xludf.DUMMYFUNCTION("""COMPUTED_VALUE"""),"দিপক দেব নাথ     ১৭৩৮৩৮৫৮১৯")</f>
        <v>দিপক দেব নাথ     ১৭৩৮৩৮৫৮১৯</v>
      </c>
      <c r="I207" s="21"/>
    </row>
    <row r="208" spans="1:9" ht="16.5" customHeight="1" x14ac:dyDescent="0.15">
      <c r="A208" s="25">
        <f ca="1">IFERROR(__xludf.DUMMYFUNCTION("""COMPUTED_VALUE"""),202)</f>
        <v>202</v>
      </c>
      <c r="B208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8" s="25">
        <f ca="1">IFERROR(__xludf.DUMMYFUNCTION("""COMPUTED_VALUE"""),5)</f>
        <v>5</v>
      </c>
      <c r="E208" s="25" t="str">
        <f ca="1">IFERROR(__xludf.DUMMYFUNCTION("""COMPUTED_VALUE"""),"25.44273-89.79039")</f>
        <v>25.44273-89.79039</v>
      </c>
      <c r="F208" s="25" t="str">
        <f ca="1">IFERROR(__xludf.DUMMYFUNCTION("""COMPUTED_VALUE"""),"মোঃ নুরুল ইসলাম ০১৭২৯৩১৪৬৮৩")</f>
        <v>মোঃ নুরুল ইসলাম ০১৭২৯৩১৪৬৮৩</v>
      </c>
      <c r="G20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8" s="25" t="str">
        <f ca="1">IFERROR(__xludf.DUMMYFUNCTION("""COMPUTED_VALUE"""),"দিপক দেব নাথ     ১৭৩৮৩৮৫৮১৯")</f>
        <v>দিপক দেব নাথ     ১৭৩৮৩৮৫৮১৯</v>
      </c>
      <c r="I208" s="25"/>
    </row>
    <row r="209" spans="1:9" ht="16.5" customHeight="1" x14ac:dyDescent="0.15">
      <c r="A209" s="21">
        <f ca="1">IFERROR(__xludf.DUMMYFUNCTION("""COMPUTED_VALUE"""),203)</f>
        <v>203</v>
      </c>
      <c r="B209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9" s="21">
        <f ca="1">IFERROR(__xludf.DUMMYFUNCTION("""COMPUTED_VALUE"""),5)</f>
        <v>5</v>
      </c>
      <c r="E209" s="21" t="str">
        <f ca="1">IFERROR(__xludf.DUMMYFUNCTION("""COMPUTED_VALUE"""),"25.44257-89.79065")</f>
        <v>25.44257-89.79065</v>
      </c>
      <c r="F209" s="21" t="str">
        <f ca="1">IFERROR(__xludf.DUMMYFUNCTION("""COMPUTED_VALUE"""),"মোঃ দুলাল হোসেন  ০১৯১৭৪৬৪২৩০")</f>
        <v>মোঃ দুলাল হোসেন  ০১৯১৭৪৬৪২৩০</v>
      </c>
      <c r="G20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9" s="21" t="str">
        <f ca="1">IFERROR(__xludf.DUMMYFUNCTION("""COMPUTED_VALUE"""),"দিপক দেব নাথ     ১৭৩৮৩৮৫৮১৯")</f>
        <v>দিপক দেব নাথ     ১৭৩৮৩৮৫৮১৯</v>
      </c>
      <c r="I209" s="21"/>
    </row>
    <row r="210" spans="1:9" ht="16.5" customHeight="1" x14ac:dyDescent="0.15">
      <c r="A210" s="25">
        <f ca="1">IFERROR(__xludf.DUMMYFUNCTION("""COMPUTED_VALUE"""),204)</f>
        <v>204</v>
      </c>
      <c r="B210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0" s="25">
        <f ca="1">IFERROR(__xludf.DUMMYFUNCTION("""COMPUTED_VALUE"""),5)</f>
        <v>5</v>
      </c>
      <c r="E210" s="25" t="str">
        <f ca="1">IFERROR(__xludf.DUMMYFUNCTION("""COMPUTED_VALUE"""),"25.45053-89.81024")</f>
        <v>25.45053-89.81024</v>
      </c>
      <c r="F210" s="25" t="str">
        <f ca="1">IFERROR(__xludf.DUMMYFUNCTION("""COMPUTED_VALUE"""),"মোঃ দেলোয়ার হোসেন  ০১৭৭৯০৫২৫৪৪")</f>
        <v>মোঃ দেলোয়ার হোসেন  ০১৭৭৯০৫২৫৪৪</v>
      </c>
      <c r="G21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0" s="25" t="str">
        <f ca="1">IFERROR(__xludf.DUMMYFUNCTION("""COMPUTED_VALUE"""),"দিপক দেব নাথ     ১৭৩৮৩৮৫৮১৯")</f>
        <v>দিপক দেব নাথ     ১৭৩৮৩৮৫৮১৯</v>
      </c>
      <c r="I210" s="25"/>
    </row>
    <row r="211" spans="1:9" ht="16.5" customHeight="1" x14ac:dyDescent="0.15">
      <c r="A211" s="21">
        <f ca="1">IFERROR(__xludf.DUMMYFUNCTION("""COMPUTED_VALUE"""),205)</f>
        <v>205</v>
      </c>
      <c r="B21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1" s="21">
        <f ca="1">IFERROR(__xludf.DUMMYFUNCTION("""COMPUTED_VALUE"""),5)</f>
        <v>5</v>
      </c>
      <c r="E211" s="21" t="str">
        <f ca="1">IFERROR(__xludf.DUMMYFUNCTION("""COMPUTED_VALUE"""),"25.45067-89.80996")</f>
        <v>25.45067-89.80996</v>
      </c>
      <c r="F211" s="21" t="str">
        <f ca="1">IFERROR(__xludf.DUMMYFUNCTION("""COMPUTED_VALUE"""),"মোঃ আজিজুর রহমান  ০১৭৮২৯১২৯০০")</f>
        <v>মোঃ আজিজুর রহমান  ০১৭৮২৯১২৯০০</v>
      </c>
      <c r="G21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1" s="21" t="str">
        <f ca="1">IFERROR(__xludf.DUMMYFUNCTION("""COMPUTED_VALUE"""),"দিপক দেব নাথ     ১৭৩৮৩৮৫৮১৯")</f>
        <v>দিপক দেব নাথ     ১৭৩৮৩৮৫৮১৯</v>
      </c>
      <c r="I211" s="21"/>
    </row>
    <row r="212" spans="1:9" ht="15" customHeight="1" x14ac:dyDescent="0.15">
      <c r="A212" s="152">
        <f ca="1">IFERROR(__xludf.DUMMYFUNCTION("""COMPUTED_VALUE"""),206)</f>
        <v>206</v>
      </c>
      <c r="B212" s="153"/>
      <c r="C212" s="153"/>
      <c r="D212" s="153"/>
      <c r="E212" s="153"/>
      <c r="F212" s="153"/>
      <c r="G212" s="153"/>
      <c r="H212" s="153"/>
      <c r="I212" s="154"/>
    </row>
    <row r="213" spans="1:9" ht="15.75" customHeight="1" x14ac:dyDescent="0.15">
      <c r="A213" s="30">
        <f ca="1">IFERROR(__xludf.DUMMYFUNCTION("""COMPUTED_VALUE"""),207)</f>
        <v>207</v>
      </c>
      <c r="B213" s="30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3" s="30">
        <f ca="1">IFERROR(__xludf.DUMMYFUNCTION("""COMPUTED_VALUE"""),5)</f>
        <v>5</v>
      </c>
      <c r="E213" s="30" t="str">
        <f ca="1">IFERROR(__xludf.DUMMYFUNCTION("""COMPUTED_VALUE"""),"25.45121-89.80975")</f>
        <v>25.45121-89.80975</v>
      </c>
      <c r="F213" s="30" t="str">
        <f ca="1">IFERROR(__xludf.DUMMYFUNCTION("""COMPUTED_VALUE"""),"মোঃ ছাইফুল ইসলাম  ০১৯৩২২০১২১০")</f>
        <v>মোঃ ছাইফুল ইসলাম  ০১৯৩২২০১২১০</v>
      </c>
      <c r="G213" s="30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3" s="30" t="str">
        <f ca="1">IFERROR(__xludf.DUMMYFUNCTION("""COMPUTED_VALUE"""),"দিপক দেব নাথ     ১৭৩৮৩৮৫৮১৯")</f>
        <v>দিপক দেব নাথ     ১৭৩৮৩৮৫৮১৯</v>
      </c>
      <c r="I213" s="30"/>
    </row>
    <row r="214" spans="1:9" ht="15.75" customHeight="1" x14ac:dyDescent="0.15">
      <c r="A214" s="30">
        <f ca="1">IFERROR(__xludf.DUMMYFUNCTION("""COMPUTED_VALUE"""),208)</f>
        <v>208</v>
      </c>
      <c r="B214" s="30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4" s="30">
        <f ca="1">IFERROR(__xludf.DUMMYFUNCTION("""COMPUTED_VALUE"""),5)</f>
        <v>5</v>
      </c>
      <c r="E214" s="30" t="str">
        <f ca="1">IFERROR(__xludf.DUMMYFUNCTION("""COMPUTED_VALUE"""),"25.45117-89.81354")</f>
        <v>25.45117-89.81354</v>
      </c>
      <c r="F214" s="30" t="str">
        <f ca="1">IFERROR(__xludf.DUMMYFUNCTION("""COMPUTED_VALUE"""),"মোঃ ইব্রাহীম হোসেন ০১৮৪৮৫৯৪১৩৯")</f>
        <v>মোঃ ইব্রাহীম হোসেন ০১৮৪৮৫৯৪১৩৯</v>
      </c>
      <c r="G214" s="30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4" s="30" t="str">
        <f ca="1">IFERROR(__xludf.DUMMYFUNCTION("""COMPUTED_VALUE"""),"দিপক দেব নাথ     ১৭৩৮৩৮৫৮১৯")</f>
        <v>দিপক দেব নাথ     ১৭৩৮৩৮৫৮১৯</v>
      </c>
      <c r="I214" s="30"/>
    </row>
    <row r="215" spans="1:9" ht="15.75" customHeight="1" x14ac:dyDescent="0.15">
      <c r="A215" s="30">
        <f ca="1">IFERROR(__xludf.DUMMYFUNCTION("""COMPUTED_VALUE"""),209)</f>
        <v>209</v>
      </c>
      <c r="B215" s="30" t="str">
        <f ca="1">IFERROR(__xludf.DUMMYFUNCTION("""COMPUTED_VALUE"""),"বড় মাদারটিলা চুলিয়ার চর রৌমারী রৌমারী কুড়িগ্রাম")</f>
        <v>বড় মাদারটিলা চুলিয়ার চর রৌমারী রৌমারী কুড়িগ্রাম</v>
      </c>
      <c r="C21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5" s="30">
        <f ca="1">IFERROR(__xludf.DUMMYFUNCTION("""COMPUTED_VALUE"""),5)</f>
        <v>5</v>
      </c>
      <c r="E215" s="30" t="str">
        <f ca="1">IFERROR(__xludf.DUMMYFUNCTION("""COMPUTED_VALUE"""),"25°31'40.1""N 89°49'37.3""E")</f>
        <v>25°31'40.1"N 89°49'37.3"E</v>
      </c>
      <c r="F215" s="30" t="str">
        <f ca="1">IFERROR(__xludf.DUMMYFUNCTION("""COMPUTED_VALUE"""),"মোঃ মোকছেদুল আলম, 1929827361")</f>
        <v>মোঃ মোকছেদুল আলম, 1929827361</v>
      </c>
      <c r="G215" s="30" t="str">
        <f ca="1">IFERROR(__xludf.DUMMYFUNCTION("""COMPUTED_VALUE"""),"মোঃ জিয়াউর রহমান, 1912054284")</f>
        <v>মোঃ জিয়াউর রহমান, 1912054284</v>
      </c>
      <c r="H215" s="30" t="str">
        <f ca="1">IFERROR(__xludf.DUMMYFUNCTION("""COMPUTED_VALUE"""),"মোঃ একরামুল হক  , 1727358724")</f>
        <v>মোঃ একরামুল হক  , 1727358724</v>
      </c>
      <c r="I215" s="30"/>
    </row>
    <row r="216" spans="1:9" ht="15.75" customHeight="1" x14ac:dyDescent="0.15">
      <c r="A216" s="30">
        <f ca="1">IFERROR(__xludf.DUMMYFUNCTION("""COMPUTED_VALUE"""),210)</f>
        <v>210</v>
      </c>
      <c r="B216" s="30" t="str">
        <f ca="1">IFERROR(__xludf.DUMMYFUNCTION("""COMPUTED_VALUE"""),"বড় মাদারটিলা চুলিয়ার চর রৌমারী রৌমারী কুড়িগ্রাম")</f>
        <v>বড় মাদারটিলা চুলিয়ার চর রৌমারী রৌমারী কুড়িগ্রাম</v>
      </c>
      <c r="C21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6" s="30">
        <f ca="1">IFERROR(__xludf.DUMMYFUNCTION("""COMPUTED_VALUE"""),5)</f>
        <v>5</v>
      </c>
      <c r="E216" s="30" t="str">
        <f ca="1">IFERROR(__xludf.DUMMYFUNCTION("""COMPUTED_VALUE"""),"25°31'39.3""N 89°49'38.5""E")</f>
        <v>25°31'39.3"N 89°49'38.5"E</v>
      </c>
      <c r="F216" s="30" t="str">
        <f ca="1">IFERROR(__xludf.DUMMYFUNCTION("""COMPUTED_VALUE"""),"মোঃ রিয়াজ উদ্দিন, 1932817165")</f>
        <v>মোঃ রিয়াজ উদ্দিন, 1932817165</v>
      </c>
      <c r="G216" s="30" t="str">
        <f ca="1">IFERROR(__xludf.DUMMYFUNCTION("""COMPUTED_VALUE"""),"মোঃ জিয়াউর রহমান, 1912054284")</f>
        <v>মোঃ জিয়াউর রহমান, 1912054284</v>
      </c>
      <c r="H216" s="30" t="str">
        <f ca="1">IFERROR(__xludf.DUMMYFUNCTION("""COMPUTED_VALUE"""),"মোঃ একরামুল হক  , 1727358724")</f>
        <v>মোঃ একরামুল হক  , 1727358724</v>
      </c>
      <c r="I216" s="30"/>
    </row>
    <row r="217" spans="1:9" ht="15.75" customHeight="1" x14ac:dyDescent="0.15">
      <c r="A217" s="30">
        <f ca="1">IFERROR(__xludf.DUMMYFUNCTION("""COMPUTED_VALUE"""),211)</f>
        <v>211</v>
      </c>
      <c r="B217" s="30" t="str">
        <f ca="1">IFERROR(__xludf.DUMMYFUNCTION("""COMPUTED_VALUE"""),"খাঁ পাড়া চুলিয়ার চর রৌমারী রৌমারী কুড়িগ্রাম")</f>
        <v>খাঁ পাড়া চুলিয়ার চর রৌমারী রৌমারী কুড়িগ্রাম</v>
      </c>
      <c r="C21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7" s="30">
        <f ca="1">IFERROR(__xludf.DUMMYFUNCTION("""COMPUTED_VALUE"""),5)</f>
        <v>5</v>
      </c>
      <c r="E217" s="30" t="str">
        <f ca="1">IFERROR(__xludf.DUMMYFUNCTION("""COMPUTED_VALUE"""),"25°32'53.0""N 89°49'11.5""E")</f>
        <v>25°32'53.0"N 89°49'11.5"E</v>
      </c>
      <c r="F217" s="30" t="str">
        <f ca="1">IFERROR(__xludf.DUMMYFUNCTION("""COMPUTED_VALUE"""),"মোঃ রিয়াজুল হক, 1908891803")</f>
        <v>মোঃ রিয়াজুল হক, 1908891803</v>
      </c>
      <c r="G217" s="30" t="str">
        <f ca="1">IFERROR(__xludf.DUMMYFUNCTION("""COMPUTED_VALUE"""),"মোঃ জিয়াউর রহমান, 1912054284")</f>
        <v>মোঃ জিয়াউর রহমান, 1912054284</v>
      </c>
      <c r="H217" s="30" t="str">
        <f ca="1">IFERROR(__xludf.DUMMYFUNCTION("""COMPUTED_VALUE"""),"মোঃ একরামুল হক  , 1727358724")</f>
        <v>মোঃ একরামুল হক  , 1727358724</v>
      </c>
      <c r="I217" s="30"/>
    </row>
    <row r="218" spans="1:9" ht="15.75" customHeight="1" x14ac:dyDescent="0.15">
      <c r="A218" s="30">
        <f ca="1">IFERROR(__xludf.DUMMYFUNCTION("""COMPUTED_VALUE"""),212)</f>
        <v>212</v>
      </c>
      <c r="B218" s="30" t="str">
        <f ca="1">IFERROR(__xludf.DUMMYFUNCTION("""COMPUTED_VALUE"""),"বাওয়ার গ্রাম চুলিয়ার চর রৌমারী রৌমারী কুড়িগ্রাম")</f>
        <v>বাওয়ার গ্রাম চুলিয়ার চর রৌমারী রৌমারী কুড়িগ্রাম</v>
      </c>
      <c r="C21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8" s="30">
        <f ca="1">IFERROR(__xludf.DUMMYFUNCTION("""COMPUTED_VALUE"""),5)</f>
        <v>5</v>
      </c>
      <c r="E218" s="30" t="str">
        <f ca="1">IFERROR(__xludf.DUMMYFUNCTION("""COMPUTED_VALUE"""),"25°32'35.0""N 89°48'44.9""E")</f>
        <v>25°32'35.0"N 89°48'44.9"E</v>
      </c>
      <c r="F218" s="30" t="str">
        <f ca="1">IFERROR(__xludf.DUMMYFUNCTION("""COMPUTED_VALUE"""),"মোঃ সাদেক হোসেন, 1714565543")</f>
        <v>মোঃ সাদেক হোসেন, 1714565543</v>
      </c>
      <c r="G218" s="30" t="str">
        <f ca="1">IFERROR(__xludf.DUMMYFUNCTION("""COMPUTED_VALUE"""),"মোঃ জিয়াউর রহমান, 1912054284")</f>
        <v>মোঃ জিয়াউর রহমান, 1912054284</v>
      </c>
      <c r="H218" s="30" t="str">
        <f ca="1">IFERROR(__xludf.DUMMYFUNCTION("""COMPUTED_VALUE"""),"মোঃ একরামুল হক  , 1727358724")</f>
        <v>মোঃ একরামুল হক  , 1727358724</v>
      </c>
      <c r="I218" s="30"/>
    </row>
    <row r="219" spans="1:9" ht="15.75" customHeight="1" x14ac:dyDescent="0.15">
      <c r="A219" s="30">
        <f ca="1">IFERROR(__xludf.DUMMYFUNCTION("""COMPUTED_VALUE"""),213)</f>
        <v>213</v>
      </c>
      <c r="B219" s="30" t="str">
        <f ca="1">IFERROR(__xludf.DUMMYFUNCTION("""COMPUTED_VALUE"""),"ফলুয়ার চর চুলিয়ার চর রৌমারী রৌমারী কুড়িগ্রাম")</f>
        <v>ফলুয়ার চর চুলিয়ার চর রৌমারী রৌমারী কুড়িগ্রাম</v>
      </c>
      <c r="C219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9" s="30">
        <f ca="1">IFERROR(__xludf.DUMMYFUNCTION("""COMPUTED_VALUE"""),5)</f>
        <v>5</v>
      </c>
      <c r="E219" s="30" t="str">
        <f ca="1">IFERROR(__xludf.DUMMYFUNCTION("""COMPUTED_VALUE"""),"25°33'36.6""N 89°47'15.1""E")</f>
        <v>25°33'36.6"N 89°47'15.1"E</v>
      </c>
      <c r="F219" s="30" t="str">
        <f ca="1">IFERROR(__xludf.DUMMYFUNCTION("""COMPUTED_VALUE"""),"মোছাঃ লাইলী বেগম, 1962824315")</f>
        <v>মোছাঃ লাইলী বেগম, 1962824315</v>
      </c>
      <c r="G219" s="30" t="str">
        <f ca="1">IFERROR(__xludf.DUMMYFUNCTION("""COMPUTED_VALUE"""),"মোঃ জিয়াউর রহমান, 1912054284")</f>
        <v>মোঃ জিয়াউর রহমান, 1912054284</v>
      </c>
      <c r="H219" s="30" t="str">
        <f ca="1">IFERROR(__xludf.DUMMYFUNCTION("""COMPUTED_VALUE"""),"মোঃ একরামুল হক  , 1727358724")</f>
        <v>মোঃ একরামুল হক  , 1727358724</v>
      </c>
      <c r="I219" s="30"/>
    </row>
    <row r="220" spans="1:9" ht="15.75" customHeight="1" x14ac:dyDescent="0.15">
      <c r="A220" s="30">
        <f ca="1">IFERROR(__xludf.DUMMYFUNCTION("""COMPUTED_VALUE"""),214)</f>
        <v>214</v>
      </c>
      <c r="B220" s="30" t="str">
        <f ca="1">IFERROR(__xludf.DUMMYFUNCTION("""COMPUTED_VALUE"""),"গোয়াল গ্রাম চুলিয়ার চর রৌমারী রৌমারী কুড়িগ্রাম")</f>
        <v>গোয়াল গ্রাম চুলিয়ার চর রৌমারী রৌমারী কুড়িগ্রাম</v>
      </c>
      <c r="C220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0" s="30">
        <f ca="1">IFERROR(__xludf.DUMMYFUNCTION("""COMPUTED_VALUE"""),5)</f>
        <v>5</v>
      </c>
      <c r="E220" s="30" t="str">
        <f ca="1">IFERROR(__xludf.DUMMYFUNCTION("""COMPUTED_VALUE"""),"25°32'57.3""N 89°50'02.4""E")</f>
        <v>25°32'57.3"N 89°50'02.4"E</v>
      </c>
      <c r="F220" s="30" t="str">
        <f ca="1">IFERROR(__xludf.DUMMYFUNCTION("""COMPUTED_VALUE"""),"মোঃ সুরুজ্জামান, 1947841670")</f>
        <v>মোঃ সুরুজ্জামান, 1947841670</v>
      </c>
      <c r="G220" s="30" t="str">
        <f ca="1">IFERROR(__xludf.DUMMYFUNCTION("""COMPUTED_VALUE"""),"মোঃ জিয়াউর রহমান, 1912054284")</f>
        <v>মোঃ জিয়াউর রহমান, 1912054284</v>
      </c>
      <c r="H220" s="30" t="str">
        <f ca="1">IFERROR(__xludf.DUMMYFUNCTION("""COMPUTED_VALUE"""),"মোঃ একরামুল হক  , 1727358724")</f>
        <v>মোঃ একরামুল হক  , 1727358724</v>
      </c>
      <c r="I220" s="30"/>
    </row>
    <row r="221" spans="1:9" ht="15.75" customHeight="1" x14ac:dyDescent="0.15">
      <c r="A221" s="30">
        <f ca="1">IFERROR(__xludf.DUMMYFUNCTION("""COMPUTED_VALUE"""),215)</f>
        <v>215</v>
      </c>
      <c r="B221" s="30" t="str">
        <f ca="1">IFERROR(__xludf.DUMMYFUNCTION("""COMPUTED_VALUE"""),"গোয়াল গ্রাম চুলিয়ার চর রৌমারী রৌমারী কুড়িগ্রাম")</f>
        <v>গোয়াল গ্রাম চুলিয়ার চর রৌমারী রৌমারী কুড়িগ্রাম</v>
      </c>
      <c r="C221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1" s="30">
        <f ca="1">IFERROR(__xludf.DUMMYFUNCTION("""COMPUTED_VALUE"""),5)</f>
        <v>5</v>
      </c>
      <c r="E221" s="30" t="str">
        <f ca="1">IFERROR(__xludf.DUMMYFUNCTION("""COMPUTED_VALUE"""),"25°32'37.7""N 89°49'57.6""E")</f>
        <v>25°32'37.7"N 89°49'57.6"E</v>
      </c>
      <c r="F221" s="30" t="str">
        <f ca="1">IFERROR(__xludf.DUMMYFUNCTION("""COMPUTED_VALUE"""),"মোঃ আঃ ছামাদ, 1916721338")</f>
        <v>মোঃ আঃ ছামাদ, 1916721338</v>
      </c>
      <c r="G221" s="30" t="str">
        <f ca="1">IFERROR(__xludf.DUMMYFUNCTION("""COMPUTED_VALUE"""),"মোঃ জিয়াউর রহমান, 1912054284")</f>
        <v>মোঃ জিয়াউর রহমান, 1912054284</v>
      </c>
      <c r="H221" s="30" t="str">
        <f ca="1">IFERROR(__xludf.DUMMYFUNCTION("""COMPUTED_VALUE"""),"মোঃ একরামুল হক  , 1727358724")</f>
        <v>মোঃ একরামুল হক  , 1727358724</v>
      </c>
      <c r="I221" s="30"/>
    </row>
    <row r="222" spans="1:9" ht="15.75" customHeight="1" x14ac:dyDescent="0.15">
      <c r="A222" s="30">
        <f ca="1">IFERROR(__xludf.DUMMYFUNCTION("""COMPUTED_VALUE"""),216)</f>
        <v>216</v>
      </c>
      <c r="B222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2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2" s="30">
        <f ca="1">IFERROR(__xludf.DUMMYFUNCTION("""COMPUTED_VALUE"""),5)</f>
        <v>5</v>
      </c>
      <c r="E222" s="30" t="str">
        <f ca="1">IFERROR(__xludf.DUMMYFUNCTION("""COMPUTED_VALUE"""),"25°33'04.6""N 89°48'18.9""E")</f>
        <v>25°33'04.6"N 89°48'18.9"E</v>
      </c>
      <c r="F222" s="30" t="str">
        <f ca="1">IFERROR(__xludf.DUMMYFUNCTION("""COMPUTED_VALUE"""),"মোছাঃ জমিরন খাতুন, 1962076864")</f>
        <v>মোছাঃ জমিরন খাতুন, 1962076864</v>
      </c>
      <c r="G222" s="30" t="str">
        <f ca="1">IFERROR(__xludf.DUMMYFUNCTION("""COMPUTED_VALUE"""),"মোঃ জিয়াউর রহমান, 1912054284")</f>
        <v>মোঃ জিয়াউর রহমান, 1912054284</v>
      </c>
      <c r="H222" s="30" t="str">
        <f ca="1">IFERROR(__xludf.DUMMYFUNCTION("""COMPUTED_VALUE"""),"মোঃ একরামুল হক  , 1727358724")</f>
        <v>মোঃ একরামুল হক  , 1727358724</v>
      </c>
      <c r="I222" s="30"/>
    </row>
    <row r="223" spans="1:9" ht="15.75" customHeight="1" x14ac:dyDescent="0.15">
      <c r="A223" s="30">
        <f ca="1">IFERROR(__xludf.DUMMYFUNCTION("""COMPUTED_VALUE"""),217)</f>
        <v>217</v>
      </c>
      <c r="B223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3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3" s="30">
        <f ca="1">IFERROR(__xludf.DUMMYFUNCTION("""COMPUTED_VALUE"""),5)</f>
        <v>5</v>
      </c>
      <c r="E223" s="30" t="str">
        <f ca="1">IFERROR(__xludf.DUMMYFUNCTION("""COMPUTED_VALUE"""),"25°33'05.5""N 89°48'14.9""E")</f>
        <v>25°33'05.5"N 89°48'14.9"E</v>
      </c>
      <c r="F223" s="30" t="str">
        <f ca="1">IFERROR(__xludf.DUMMYFUNCTION("""COMPUTED_VALUE"""),"মোঃ হাসমত আলী, 1965486449")</f>
        <v>মোঃ হাসমত আলী, 1965486449</v>
      </c>
      <c r="G223" s="30" t="str">
        <f ca="1">IFERROR(__xludf.DUMMYFUNCTION("""COMPUTED_VALUE"""),"মোঃ জিয়াউর রহমান, 1912054284")</f>
        <v>মোঃ জিয়াউর রহমান, 1912054284</v>
      </c>
      <c r="H223" s="30" t="str">
        <f ca="1">IFERROR(__xludf.DUMMYFUNCTION("""COMPUTED_VALUE"""),"মোঃ একরামুল হক  , 1727358724")</f>
        <v>মোঃ একরামুল হক  , 1727358724</v>
      </c>
      <c r="I223" s="30"/>
    </row>
    <row r="224" spans="1:9" ht="15.75" customHeight="1" x14ac:dyDescent="0.15">
      <c r="A224" s="30">
        <f ca="1">IFERROR(__xludf.DUMMYFUNCTION("""COMPUTED_VALUE"""),218)</f>
        <v>218</v>
      </c>
      <c r="B224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4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4" s="30">
        <f ca="1">IFERROR(__xludf.DUMMYFUNCTION("""COMPUTED_VALUE"""),5)</f>
        <v>5</v>
      </c>
      <c r="E224" s="30" t="str">
        <f ca="1">IFERROR(__xludf.DUMMYFUNCTION("""COMPUTED_VALUE"""),"25°32'37.5""N 89°48'23.9""E")</f>
        <v>25°32'37.5"N 89°48'23.9"E</v>
      </c>
      <c r="F224" s="30" t="str">
        <f ca="1">IFERROR(__xludf.DUMMYFUNCTION("""COMPUTED_VALUE"""),"মোঃ সাইফুল ইসলাম, 1875908287")</f>
        <v>মোঃ সাইফুল ইসলাম, 1875908287</v>
      </c>
      <c r="G224" s="30" t="str">
        <f ca="1">IFERROR(__xludf.DUMMYFUNCTION("""COMPUTED_VALUE"""),"মোঃ জিয়াউর রহমান, 1912054284")</f>
        <v>মোঃ জিয়াউর রহমান, 1912054284</v>
      </c>
      <c r="H224" s="30" t="str">
        <f ca="1">IFERROR(__xludf.DUMMYFUNCTION("""COMPUTED_VALUE"""),"মোঃ একরামুল হক  , 1727358724")</f>
        <v>মোঃ একরামুল হক  , 1727358724</v>
      </c>
      <c r="I224" s="30"/>
    </row>
    <row r="225" spans="1:9" ht="15.75" customHeight="1" x14ac:dyDescent="0.15">
      <c r="A225" s="30">
        <f ca="1">IFERROR(__xludf.DUMMYFUNCTION("""COMPUTED_VALUE"""),219)</f>
        <v>219</v>
      </c>
      <c r="B225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5" s="30">
        <f ca="1">IFERROR(__xludf.DUMMYFUNCTION("""COMPUTED_VALUE"""),5)</f>
        <v>5</v>
      </c>
      <c r="E225" s="30" t="str">
        <f ca="1">IFERROR(__xludf.DUMMYFUNCTION("""COMPUTED_VALUE"""),"25°32'53.1""N 89°48'24.6""E ")</f>
        <v xml:space="preserve">25°32'53.1"N 89°48'24.6"E </v>
      </c>
      <c r="F225" s="30" t="str">
        <f ca="1">IFERROR(__xludf.DUMMYFUNCTION("""COMPUTED_VALUE"""),"মোছাঃ সাজেদা খাতুন, 1907930765")</f>
        <v>মোছাঃ সাজেদা খাতুন, 1907930765</v>
      </c>
      <c r="G225" s="30" t="str">
        <f ca="1">IFERROR(__xludf.DUMMYFUNCTION("""COMPUTED_VALUE"""),"মোঃ জিয়াউর রহমান, 1912054284")</f>
        <v>মোঃ জিয়াউর রহমান, 1912054284</v>
      </c>
      <c r="H225" s="30" t="str">
        <f ca="1">IFERROR(__xludf.DUMMYFUNCTION("""COMPUTED_VALUE"""),"মোঃ একরামুল হক  , 1727358724")</f>
        <v>মোঃ একরামুল হক  , 1727358724</v>
      </c>
      <c r="I225" s="30"/>
    </row>
    <row r="226" spans="1:9" ht="15.75" customHeight="1" x14ac:dyDescent="0.15">
      <c r="A226" s="30">
        <f ca="1">IFERROR(__xludf.DUMMYFUNCTION("""COMPUTED_VALUE"""),220)</f>
        <v>220</v>
      </c>
      <c r="B226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6" s="30">
        <f ca="1">IFERROR(__xludf.DUMMYFUNCTION("""COMPUTED_VALUE"""),5)</f>
        <v>5</v>
      </c>
      <c r="E226" s="30" t="str">
        <f ca="1">IFERROR(__xludf.DUMMYFUNCTION("""COMPUTED_VALUE"""),"25°32'50.2""N 89°48'24.9""E")</f>
        <v>25°32'50.2"N 89°48'24.9"E</v>
      </c>
      <c r="F226" s="30" t="str">
        <f ca="1">IFERROR(__xludf.DUMMYFUNCTION("""COMPUTED_VALUE"""),"মোঃমোজাম্মেল, 1945676985")</f>
        <v>মোঃমোজাম্মেল, 1945676985</v>
      </c>
      <c r="G226" s="30" t="str">
        <f ca="1">IFERROR(__xludf.DUMMYFUNCTION("""COMPUTED_VALUE"""),"মোঃ জিয়াউর রহমান, 1912054284")</f>
        <v>মোঃ জিয়াউর রহমান, 1912054284</v>
      </c>
      <c r="H226" s="30" t="str">
        <f ca="1">IFERROR(__xludf.DUMMYFUNCTION("""COMPUTED_VALUE"""),"মোঃ একরামুল হক  , 1727358724")</f>
        <v>মোঃ একরামুল হক  , 1727358724</v>
      </c>
      <c r="I226" s="30"/>
    </row>
    <row r="227" spans="1:9" ht="15.75" customHeight="1" x14ac:dyDescent="0.15">
      <c r="A227" s="30">
        <f ca="1">IFERROR(__xludf.DUMMYFUNCTION("""COMPUTED_VALUE"""),221)</f>
        <v>221</v>
      </c>
      <c r="B227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2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7" s="30">
        <f ca="1">IFERROR(__xludf.DUMMYFUNCTION("""COMPUTED_VALUE"""),5)</f>
        <v>5</v>
      </c>
      <c r="E227" s="30" t="str">
        <f ca="1">IFERROR(__xludf.DUMMYFUNCTION("""COMPUTED_VALUE"""),"25°32'37.8""N 89°48'45.0""E")</f>
        <v>25°32'37.8"N 89°48'45.0"E</v>
      </c>
      <c r="F227" s="30" t="str">
        <f ca="1">IFERROR(__xludf.DUMMYFUNCTION("""COMPUTED_VALUE"""),"মোঃ হাবিজুর রহমান, 1944806605")</f>
        <v>মোঃ হাবিজুর রহমান, 1944806605</v>
      </c>
      <c r="G227" s="30" t="str">
        <f ca="1">IFERROR(__xludf.DUMMYFUNCTION("""COMPUTED_VALUE"""),"মোঃ জিয়াউর রহমান, 1912054284")</f>
        <v>মোঃ জিয়াউর রহমান, 1912054284</v>
      </c>
      <c r="H227" s="30" t="str">
        <f ca="1">IFERROR(__xludf.DUMMYFUNCTION("""COMPUTED_VALUE"""),"মোঃ একরামুল হক  , 1727358724")</f>
        <v>মোঃ একরামুল হক  , 1727358724</v>
      </c>
      <c r="I227" s="30"/>
    </row>
    <row r="228" spans="1:9" ht="15.75" customHeight="1" x14ac:dyDescent="0.15">
      <c r="A228" s="30">
        <f ca="1">IFERROR(__xludf.DUMMYFUNCTION("""COMPUTED_VALUE"""),222)</f>
        <v>222</v>
      </c>
      <c r="B228" s="30" t="str">
        <f ca="1">IFERROR(__xludf.DUMMYFUNCTION("""COMPUTED_VALUE"""),"ফুলবাড়ি চুলিয়ার চর রৌমারী রৌমারী কুড়িগ্রাম")</f>
        <v>ফুলবাড়ি চুলিয়ার চর রৌমারী রৌমারী কুড়িগ্রাম</v>
      </c>
      <c r="C22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8" s="30">
        <f ca="1">IFERROR(__xludf.DUMMYFUNCTION("""COMPUTED_VALUE"""),5)</f>
        <v>5</v>
      </c>
      <c r="E228" s="30" t="str">
        <f ca="1">IFERROR(__xludf.DUMMYFUNCTION("""COMPUTED_VALUE"""),"25°32'54.7""N 89°50'11.8""E")</f>
        <v>25°32'54.7"N 89°50'11.8"E</v>
      </c>
      <c r="F228" s="30" t="str">
        <f ca="1">IFERROR(__xludf.DUMMYFUNCTION("""COMPUTED_VALUE"""),"মোঃ আবু সায়েম হাবিব, 1974475145")</f>
        <v>মোঃ আবু সায়েম হাবিব, 1974475145</v>
      </c>
      <c r="G228" s="30" t="str">
        <f ca="1">IFERROR(__xludf.DUMMYFUNCTION("""COMPUTED_VALUE"""),"মোঃ জিয়াউর রহমান, 1912054284")</f>
        <v>মোঃ জিয়াউর রহমান, 1912054284</v>
      </c>
      <c r="H228" s="30" t="str">
        <f ca="1">IFERROR(__xludf.DUMMYFUNCTION("""COMPUTED_VALUE"""),"মোঃ একরামুল হক  , 1727358724")</f>
        <v>মোঃ একরামুল হক  , 1727358724</v>
      </c>
      <c r="I228" s="30"/>
    </row>
    <row r="229" spans="1:9" ht="15.75" customHeight="1" x14ac:dyDescent="0.15">
      <c r="A229" s="30">
        <f ca="1">IFERROR(__xludf.DUMMYFUNCTION("""COMPUTED_VALUE"""),223)</f>
        <v>223</v>
      </c>
      <c r="B229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29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9" s="30">
        <f ca="1">IFERROR(__xludf.DUMMYFUNCTION("""COMPUTED_VALUE"""),5)</f>
        <v>5</v>
      </c>
      <c r="E229" s="30" t="str">
        <f ca="1">IFERROR(__xludf.DUMMYFUNCTION("""COMPUTED_VALUE"""),"25°33'04.4""N 89°48'43.4""E")</f>
        <v>25°33'04.4"N 89°48'43.4"E</v>
      </c>
      <c r="F229" s="30" t="str">
        <f ca="1">IFERROR(__xludf.DUMMYFUNCTION("""COMPUTED_VALUE"""),"মোঃ মাহমুদুল হাসান, 1611235079")</f>
        <v>মোঃ মাহমুদুল হাসান, 1611235079</v>
      </c>
      <c r="G229" s="30" t="str">
        <f ca="1">IFERROR(__xludf.DUMMYFUNCTION("""COMPUTED_VALUE"""),"মোঃ জিয়াউর রহমান, 1912054284")</f>
        <v>মোঃ জিয়াউর রহমান, 1912054284</v>
      </c>
      <c r="H229" s="30" t="str">
        <f ca="1">IFERROR(__xludf.DUMMYFUNCTION("""COMPUTED_VALUE"""),"মোঃ একরামুল হক  , 1727358724")</f>
        <v>মোঃ একরামুল হক  , 1727358724</v>
      </c>
      <c r="I229" s="30"/>
    </row>
    <row r="230" spans="1:9" ht="15.75" customHeight="1" x14ac:dyDescent="0.15">
      <c r="A230" s="30">
        <f ca="1">IFERROR(__xludf.DUMMYFUNCTION("""COMPUTED_VALUE"""),224)</f>
        <v>224</v>
      </c>
      <c r="B230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0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0" s="30">
        <f ca="1">IFERROR(__xludf.DUMMYFUNCTION("""COMPUTED_VALUE"""),5)</f>
        <v>5</v>
      </c>
      <c r="E230" s="30" t="str">
        <f ca="1">IFERROR(__xludf.DUMMYFUNCTION("""COMPUTED_VALUE"""),"25°33'03.9""N 89°48'44.1""E")</f>
        <v>25°33'03.9"N 89°48'44.1"E</v>
      </c>
      <c r="F230" s="30" t="str">
        <f ca="1">IFERROR(__xludf.DUMMYFUNCTION("""COMPUTED_VALUE"""),"মোছাঃ রিনা খাতুন, 1952771205")</f>
        <v>মোছাঃ রিনা খাতুন, 1952771205</v>
      </c>
      <c r="G230" s="30" t="str">
        <f ca="1">IFERROR(__xludf.DUMMYFUNCTION("""COMPUTED_VALUE"""),"মোঃ জিয়াউর রহমান, 1912054284")</f>
        <v>মোঃ জিয়াউর রহমান, 1912054284</v>
      </c>
      <c r="H230" s="30" t="str">
        <f ca="1">IFERROR(__xludf.DUMMYFUNCTION("""COMPUTED_VALUE"""),"মোঃ একরামুল হক  , 1727358724")</f>
        <v>মোঃ একরামুল হক  , 1727358724</v>
      </c>
      <c r="I230" s="30"/>
    </row>
    <row r="231" spans="1:9" ht="15.75" customHeight="1" x14ac:dyDescent="0.15">
      <c r="A231" s="30">
        <f ca="1">IFERROR(__xludf.DUMMYFUNCTION("""COMPUTED_VALUE"""),225)</f>
        <v>225</v>
      </c>
      <c r="B231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1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1" s="30">
        <f ca="1">IFERROR(__xludf.DUMMYFUNCTION("""COMPUTED_VALUE"""),5)</f>
        <v>5</v>
      </c>
      <c r="E231" s="30" t="str">
        <f ca="1">IFERROR(__xludf.DUMMYFUNCTION("""COMPUTED_VALUE"""),"25°32'58.3""N 89°48'53.8""E")</f>
        <v>25°32'58.3"N 89°48'53.8"E</v>
      </c>
      <c r="F231" s="30" t="str">
        <f ca="1">IFERROR(__xludf.DUMMYFUNCTION("""COMPUTED_VALUE"""),"মোছাঃ শরিফা খাতুন, 1909008350")</f>
        <v>মোছাঃ শরিফা খাতুন, 1909008350</v>
      </c>
      <c r="G231" s="30" t="str">
        <f ca="1">IFERROR(__xludf.DUMMYFUNCTION("""COMPUTED_VALUE"""),"মোঃ জিয়াউর রহমান, 1912054284")</f>
        <v>মোঃ জিয়াউর রহমান, 1912054284</v>
      </c>
      <c r="H231" s="30" t="str">
        <f ca="1">IFERROR(__xludf.DUMMYFUNCTION("""COMPUTED_VALUE"""),"মোঃ একরামুল হক  , 1727358724")</f>
        <v>মোঃ একরামুল হক  , 1727358724</v>
      </c>
      <c r="I231" s="30"/>
    </row>
    <row r="232" spans="1:9" ht="15.75" customHeight="1" x14ac:dyDescent="0.15">
      <c r="A232" s="30">
        <f ca="1">IFERROR(__xludf.DUMMYFUNCTION("""COMPUTED_VALUE"""),226)</f>
        <v>226</v>
      </c>
      <c r="B232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2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2" s="30">
        <f ca="1">IFERROR(__xludf.DUMMYFUNCTION("""COMPUTED_VALUE"""),5)</f>
        <v>5</v>
      </c>
      <c r="E232" s="30" t="str">
        <f ca="1">IFERROR(__xludf.DUMMYFUNCTION("""COMPUTED_VALUE"""),"25°32'58.1""N 89°48'54.9""E")</f>
        <v>25°32'58.1"N 89°48'54.9"E</v>
      </c>
      <c r="F232" s="30" t="str">
        <f ca="1">IFERROR(__xludf.DUMMYFUNCTION("""COMPUTED_VALUE"""),"মোছাঃ রিনা  খাতুন, 1995343781")</f>
        <v>মোছাঃ রিনা  খাতুন, 1995343781</v>
      </c>
      <c r="G232" s="30" t="str">
        <f ca="1">IFERROR(__xludf.DUMMYFUNCTION("""COMPUTED_VALUE"""),"মোঃ জিয়াউর রহমান, 1912054284")</f>
        <v>মোঃ জিয়াউর রহমান, 1912054284</v>
      </c>
      <c r="H232" s="30" t="str">
        <f ca="1">IFERROR(__xludf.DUMMYFUNCTION("""COMPUTED_VALUE"""),"মোঃ একরামুল হক  , 1727358724")</f>
        <v>মোঃ একরামুল হক  , 1727358724</v>
      </c>
      <c r="I232" s="30"/>
    </row>
    <row r="233" spans="1:9" ht="15.75" customHeight="1" x14ac:dyDescent="0.15">
      <c r="A233" s="30">
        <f ca="1">IFERROR(__xludf.DUMMYFUNCTION("""COMPUTED_VALUE"""),227)</f>
        <v>227</v>
      </c>
      <c r="B233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3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3" s="30">
        <f ca="1">IFERROR(__xludf.DUMMYFUNCTION("""COMPUTED_VALUE"""),5)</f>
        <v>5</v>
      </c>
      <c r="E233" s="30" t="str">
        <f ca="1">IFERROR(__xludf.DUMMYFUNCTION("""COMPUTED_VALUE"""),"25°32'57.8""N 89°48'55.0""E")</f>
        <v>25°32'57.8"N 89°48'55.0"E</v>
      </c>
      <c r="F233" s="30" t="str">
        <f ca="1">IFERROR(__xludf.DUMMYFUNCTION("""COMPUTED_VALUE"""),"মোঃ আশরাফুল, 1946690982")</f>
        <v>মোঃ আশরাফুল, 1946690982</v>
      </c>
      <c r="G233" s="30" t="str">
        <f ca="1">IFERROR(__xludf.DUMMYFUNCTION("""COMPUTED_VALUE"""),"মোঃ জিয়াউর রহমান, 1912054284")</f>
        <v>মোঃ জিয়াউর রহমান, 1912054284</v>
      </c>
      <c r="H233" s="30" t="str">
        <f ca="1">IFERROR(__xludf.DUMMYFUNCTION("""COMPUTED_VALUE"""),"মোঃ একরামুল হক  , 1727358724")</f>
        <v>মোঃ একরামুল হক  , 1727358724</v>
      </c>
      <c r="I233" s="30"/>
    </row>
    <row r="234" spans="1:9" ht="15.75" customHeight="1" x14ac:dyDescent="0.15">
      <c r="A234" s="30">
        <f ca="1">IFERROR(__xludf.DUMMYFUNCTION("""COMPUTED_VALUE"""),228)</f>
        <v>228</v>
      </c>
      <c r="B234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4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4" s="30">
        <f ca="1">IFERROR(__xludf.DUMMYFUNCTION("""COMPUTED_VALUE"""),5)</f>
        <v>5</v>
      </c>
      <c r="E234" s="30" t="str">
        <f ca="1">IFERROR(__xludf.DUMMYFUNCTION("""COMPUTED_VALUE"""),"25°33'07.1""N 89°48'45.9""E")</f>
        <v>25°33'07.1"N 89°48'45.9"E</v>
      </c>
      <c r="F234" s="30" t="str">
        <f ca="1">IFERROR(__xludf.DUMMYFUNCTION("""COMPUTED_VALUE"""),"মোছাঃ নাজমা  খাতুন, 1931702332")</f>
        <v>মোছাঃ নাজমা  খাতুন, 1931702332</v>
      </c>
      <c r="G234" s="30" t="str">
        <f ca="1">IFERROR(__xludf.DUMMYFUNCTION("""COMPUTED_VALUE"""),"মোঃ জিয়াউর রহমান, 1912054284")</f>
        <v>মোঃ জিয়াউর রহমান, 1912054284</v>
      </c>
      <c r="H234" s="30" t="str">
        <f ca="1">IFERROR(__xludf.DUMMYFUNCTION("""COMPUTED_VALUE"""),"মোঃ একরামুল হক  , 1727358724")</f>
        <v>মোঃ একরামুল হক  , 1727358724</v>
      </c>
      <c r="I234" s="30"/>
    </row>
    <row r="235" spans="1:9" ht="15.75" customHeight="1" x14ac:dyDescent="0.15">
      <c r="A235" s="30">
        <f ca="1">IFERROR(__xludf.DUMMYFUNCTION("""COMPUTED_VALUE"""),229)</f>
        <v>229</v>
      </c>
      <c r="B235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5" s="30">
        <f ca="1">IFERROR(__xludf.DUMMYFUNCTION("""COMPUTED_VALUE"""),5)</f>
        <v>5</v>
      </c>
      <c r="E235" s="30" t="str">
        <f ca="1">IFERROR(__xludf.DUMMYFUNCTION("""COMPUTED_VALUE"""),"25°33'06.3""N 89°48'45.8""E")</f>
        <v>25°33'06.3"N 89°48'45.8"E</v>
      </c>
      <c r="F235" s="30" t="str">
        <f ca="1">IFERROR(__xludf.DUMMYFUNCTION("""COMPUTED_VALUE"""),"মোছাঃ খুরশিদা খাতুন, 1918255431")</f>
        <v>মোছাঃ খুরশিদা খাতুন, 1918255431</v>
      </c>
      <c r="G235" s="30" t="str">
        <f ca="1">IFERROR(__xludf.DUMMYFUNCTION("""COMPUTED_VALUE"""),"মোঃ জিয়াউর রহমান, 1912054284")</f>
        <v>মোঃ জিয়াউর রহমান, 1912054284</v>
      </c>
      <c r="H235" s="30" t="str">
        <f ca="1">IFERROR(__xludf.DUMMYFUNCTION("""COMPUTED_VALUE"""),"মোঃ একরামুল হক  , 1727358724")</f>
        <v>মোঃ একরামুল হক  , 1727358724</v>
      </c>
      <c r="I235" s="30"/>
    </row>
    <row r="236" spans="1:9" ht="15.75" customHeight="1" x14ac:dyDescent="0.15">
      <c r="A236" s="30">
        <f ca="1">IFERROR(__xludf.DUMMYFUNCTION("""COMPUTED_VALUE"""),230)</f>
        <v>230</v>
      </c>
      <c r="B236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6" s="30">
        <f ca="1">IFERROR(__xludf.DUMMYFUNCTION("""COMPUTED_VALUE"""),5)</f>
        <v>5</v>
      </c>
      <c r="E236" s="30" t="str">
        <f ca="1">IFERROR(__xludf.DUMMYFUNCTION("""COMPUTED_VALUE"""),"25°33'06.8""N 89°48'45.8""E")</f>
        <v>25°33'06.8"N 89°48'45.8"E</v>
      </c>
      <c r="F236" s="30" t="str">
        <f ca="1">IFERROR(__xludf.DUMMYFUNCTION("""COMPUTED_VALUE"""),"মোছাঃ আরজিনা খাতুন, 1966945451")</f>
        <v>মোছাঃ আরজিনা খাতুন, 1966945451</v>
      </c>
      <c r="G236" s="30" t="str">
        <f ca="1">IFERROR(__xludf.DUMMYFUNCTION("""COMPUTED_VALUE"""),"মোঃ জিয়াউর রহমান, 1912054284")</f>
        <v>মোঃ জিয়াউর রহমান, 1912054284</v>
      </c>
      <c r="H236" s="30" t="str">
        <f ca="1">IFERROR(__xludf.DUMMYFUNCTION("""COMPUTED_VALUE"""),"মোঃ একরামুল হক  , 1727358724")</f>
        <v>মোঃ একরামুল হক  , 1727358724</v>
      </c>
      <c r="I236" s="30"/>
    </row>
    <row r="237" spans="1:9" ht="15.75" customHeight="1" x14ac:dyDescent="0.15">
      <c r="A237" s="30">
        <f ca="1">IFERROR(__xludf.DUMMYFUNCTION("""COMPUTED_VALUE"""),231)</f>
        <v>231</v>
      </c>
      <c r="B237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7" s="30">
        <f ca="1">IFERROR(__xludf.DUMMYFUNCTION("""COMPUTED_VALUE"""),5)</f>
        <v>5</v>
      </c>
      <c r="E237" s="30" t="str">
        <f ca="1">IFERROR(__xludf.DUMMYFUNCTION("""COMPUTED_VALUE"""),"25°32'27.4""N 89°48'46.4""E")</f>
        <v>25°32'27.4"N 89°48'46.4"E</v>
      </c>
      <c r="F237" s="30" t="str">
        <f ca="1">IFERROR(__xludf.DUMMYFUNCTION("""COMPUTED_VALUE"""),"মোঃ নবিন আলী, 1939945964")</f>
        <v>মোঃ নবিন আলী, 1939945964</v>
      </c>
      <c r="G237" s="30" t="str">
        <f ca="1">IFERROR(__xludf.DUMMYFUNCTION("""COMPUTED_VALUE"""),"মোঃ জিয়াউর রহমান, 1912054284")</f>
        <v>মোঃ জিয়াউর রহমান, 1912054284</v>
      </c>
      <c r="H237" s="30" t="str">
        <f ca="1">IFERROR(__xludf.DUMMYFUNCTION("""COMPUTED_VALUE"""),"মোঃ একরামুল হক  , 1727358724")</f>
        <v>মোঃ একরামুল হক  , 1727358724</v>
      </c>
      <c r="I237" s="30"/>
    </row>
    <row r="238" spans="1:9" ht="15.75" customHeight="1" x14ac:dyDescent="0.15">
      <c r="A238" s="30">
        <f ca="1">IFERROR(__xludf.DUMMYFUNCTION("""COMPUTED_VALUE"""),232)</f>
        <v>232</v>
      </c>
      <c r="B238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8" s="30">
        <f ca="1">IFERROR(__xludf.DUMMYFUNCTION("""COMPUTED_VALUE"""),5)</f>
        <v>5</v>
      </c>
      <c r="E238" s="30" t="str">
        <f ca="1">IFERROR(__xludf.DUMMYFUNCTION("""COMPUTED_VALUE"""),"25°33'01.1""N 89°48'50.5""E")</f>
        <v>25°33'01.1"N 89°48'50.5"E</v>
      </c>
      <c r="F238" s="30" t="str">
        <f ca="1">IFERROR(__xludf.DUMMYFUNCTION("""COMPUTED_VALUE"""),"আঃ রশিদ, 1957952582")</f>
        <v>আঃ রশিদ, 1957952582</v>
      </c>
      <c r="G238" s="30" t="str">
        <f ca="1">IFERROR(__xludf.DUMMYFUNCTION("""COMPUTED_VALUE"""),"মোঃ জিয়াউর রহমান, 1912054284")</f>
        <v>মোঃ জিয়াউর রহমান, 1912054284</v>
      </c>
      <c r="H238" s="30" t="str">
        <f ca="1">IFERROR(__xludf.DUMMYFUNCTION("""COMPUTED_VALUE"""),"মোঃ একরামুল হক  , 1727358724")</f>
        <v>মোঃ একরামুল হক  , 1727358724</v>
      </c>
      <c r="I238" s="30"/>
    </row>
    <row r="239" spans="1:9" ht="15.75" customHeight="1" x14ac:dyDescent="0.15">
      <c r="A239" s="30">
        <f ca="1">IFERROR(__xludf.DUMMYFUNCTION("""COMPUTED_VALUE"""),233)</f>
        <v>233</v>
      </c>
      <c r="B239" s="30"/>
      <c r="C239" s="30"/>
      <c r="D239" s="30"/>
      <c r="E239" s="30"/>
      <c r="F239" s="30"/>
      <c r="G239" s="30"/>
      <c r="H239" s="30"/>
      <c r="I239" s="30"/>
    </row>
    <row r="240" spans="1: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</sheetData>
  <mergeCells count="1">
    <mergeCell ref="A212:I21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8.578125" customWidth="1"/>
    <col min="2" max="2" width="31.3828125" customWidth="1"/>
    <col min="3" max="4" width="37.14453125" customWidth="1"/>
    <col min="5" max="6" width="10.05078125" customWidth="1"/>
    <col min="7" max="26" width="14.33984375" customWidth="1"/>
  </cols>
  <sheetData>
    <row r="1" spans="1:4" ht="22.5" customHeight="1" x14ac:dyDescent="0.15">
      <c r="A1" s="157" t="s">
        <v>983</v>
      </c>
      <c r="B1" s="127"/>
      <c r="C1" s="127"/>
      <c r="D1" s="128"/>
    </row>
    <row r="2" spans="1:4" ht="16.5" customHeight="1" x14ac:dyDescent="0.15">
      <c r="A2" s="150" t="s">
        <v>984</v>
      </c>
      <c r="B2" s="127"/>
      <c r="C2" s="127"/>
      <c r="D2" s="128"/>
    </row>
    <row r="3" spans="1:4" ht="15" customHeight="1" x14ac:dyDescent="0.15">
      <c r="A3" s="151" t="s">
        <v>42</v>
      </c>
      <c r="B3" s="127"/>
      <c r="C3" s="127"/>
      <c r="D3" s="128"/>
    </row>
    <row r="4" spans="1:4" ht="24" customHeight="1" x14ac:dyDescent="0.15">
      <c r="A4" s="159" t="s">
        <v>985</v>
      </c>
      <c r="B4" s="160"/>
      <c r="C4" s="160"/>
      <c r="D4" s="161"/>
    </row>
    <row r="5" spans="1:4" ht="24" customHeight="1" x14ac:dyDescent="0.15">
      <c r="A5" s="110"/>
      <c r="B5" s="110"/>
      <c r="C5" s="110"/>
      <c r="D5" s="110"/>
    </row>
    <row r="6" spans="1:4" ht="24" customHeight="1" x14ac:dyDescent="0.15">
      <c r="A6" s="111" t="s">
        <v>986</v>
      </c>
      <c r="B6" s="111" t="s">
        <v>987</v>
      </c>
      <c r="C6" s="111" t="s">
        <v>988</v>
      </c>
      <c r="D6" s="111" t="s">
        <v>989</v>
      </c>
    </row>
    <row r="7" spans="1:4" ht="24" customHeight="1" x14ac:dyDescent="0.15">
      <c r="A7" s="112" t="s">
        <v>990</v>
      </c>
      <c r="B7" s="112" t="s">
        <v>991</v>
      </c>
      <c r="C7" s="113" t="s">
        <v>34</v>
      </c>
      <c r="D7" s="112" t="s">
        <v>992</v>
      </c>
    </row>
    <row r="8" spans="1:4" ht="24" customHeight="1" x14ac:dyDescent="0.15">
      <c r="A8" s="111" t="s">
        <v>990</v>
      </c>
      <c r="B8" s="111" t="s">
        <v>993</v>
      </c>
      <c r="C8" s="114" t="s">
        <v>994</v>
      </c>
      <c r="D8" s="111" t="s">
        <v>992</v>
      </c>
    </row>
    <row r="9" spans="1:4" ht="24" customHeight="1" x14ac:dyDescent="0.15">
      <c r="A9" s="112" t="s">
        <v>995</v>
      </c>
      <c r="B9" s="112" t="s">
        <v>996</v>
      </c>
      <c r="C9" s="113" t="s">
        <v>36</v>
      </c>
      <c r="D9" s="112" t="s">
        <v>997</v>
      </c>
    </row>
    <row r="10" spans="1:4" ht="24" customHeight="1" x14ac:dyDescent="0.15">
      <c r="A10" s="111" t="s">
        <v>995</v>
      </c>
      <c r="B10" s="111" t="s">
        <v>998</v>
      </c>
      <c r="C10" s="114" t="s">
        <v>999</v>
      </c>
      <c r="D10" s="111" t="s">
        <v>1000</v>
      </c>
    </row>
    <row r="11" spans="1:4" ht="24" customHeight="1" x14ac:dyDescent="0.15">
      <c r="A11" s="110"/>
      <c r="B11" s="110"/>
      <c r="C11" s="110"/>
      <c r="D11" s="110"/>
    </row>
    <row r="12" spans="1:4" ht="24" customHeight="1" x14ac:dyDescent="0.15">
      <c r="A12" s="115" t="s">
        <v>1001</v>
      </c>
      <c r="B12" s="115"/>
      <c r="C12" s="115"/>
      <c r="D12" s="115"/>
    </row>
    <row r="13" spans="1:4" ht="24" customHeight="1" x14ac:dyDescent="0.15">
      <c r="A13" s="110"/>
      <c r="B13" s="110"/>
      <c r="C13" s="110"/>
      <c r="D13" s="110"/>
    </row>
    <row r="14" spans="1:4" ht="24" customHeight="1" x14ac:dyDescent="0.15">
      <c r="A14" s="114" t="s">
        <v>1002</v>
      </c>
      <c r="B14" s="166" t="s">
        <v>1003</v>
      </c>
      <c r="C14" s="163"/>
      <c r="D14" s="164"/>
    </row>
    <row r="15" spans="1:4" ht="24" customHeight="1" x14ac:dyDescent="0.15">
      <c r="A15" s="113" t="s">
        <v>1004</v>
      </c>
      <c r="B15" s="167" t="s">
        <v>1005</v>
      </c>
      <c r="C15" s="163"/>
      <c r="D15" s="164"/>
    </row>
    <row r="16" spans="1:4" ht="24" customHeight="1" x14ac:dyDescent="0.15">
      <c r="A16" s="114" t="s">
        <v>1006</v>
      </c>
      <c r="B16" s="166" t="s">
        <v>1007</v>
      </c>
      <c r="C16" s="163"/>
      <c r="D16" s="164"/>
    </row>
    <row r="17" spans="1:4" ht="24" customHeight="1" x14ac:dyDescent="0.15">
      <c r="A17" s="113" t="s">
        <v>1008</v>
      </c>
      <c r="B17" s="167" t="s">
        <v>1009</v>
      </c>
      <c r="C17" s="163"/>
      <c r="D17" s="164"/>
    </row>
    <row r="21" spans="1:4" ht="15.75" customHeight="1" x14ac:dyDescent="0.15"/>
    <row r="22" spans="1:4" ht="15.75" customHeight="1" x14ac:dyDescent="0.15"/>
    <row r="23" spans="1:4" ht="15.75" customHeight="1" x14ac:dyDescent="0.15"/>
    <row r="24" spans="1:4" ht="15.75" customHeight="1" x14ac:dyDescent="0.15"/>
    <row r="25" spans="1:4" ht="15.75" customHeight="1" x14ac:dyDescent="0.15"/>
    <row r="26" spans="1:4" ht="15.75" customHeight="1" x14ac:dyDescent="0.15"/>
    <row r="27" spans="1:4" ht="15.75" customHeight="1" x14ac:dyDescent="0.15"/>
    <row r="28" spans="1:4" ht="15.75" customHeight="1" x14ac:dyDescent="0.15"/>
    <row r="29" spans="1:4" ht="15.75" customHeight="1" x14ac:dyDescent="0.15"/>
    <row r="30" spans="1:4" ht="15.75" customHeight="1" x14ac:dyDescent="0.15"/>
    <row r="31" spans="1:4" ht="15.75" customHeight="1" x14ac:dyDescent="0.15"/>
    <row r="32" spans="1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8">
    <mergeCell ref="B15:D15"/>
    <mergeCell ref="B16:D16"/>
    <mergeCell ref="B17:D17"/>
    <mergeCell ref="A1:D1"/>
    <mergeCell ref="A2:D2"/>
    <mergeCell ref="A3:D3"/>
    <mergeCell ref="A4:D4"/>
    <mergeCell ref="B14:D1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>
      <pane ySplit="6" topLeftCell="A7" activePane="bottomLeft" state="frozen"/>
      <selection pane="bottomLeft" activeCell="B8" sqref="B8"/>
    </sheetView>
  </sheetViews>
  <sheetFormatPr defaultColWidth="12.625" defaultRowHeight="15" customHeight="1" x14ac:dyDescent="0.15"/>
  <cols>
    <col min="1" max="1" width="14.33984375" customWidth="1"/>
    <col min="2" max="4" width="25.7421875" customWidth="1"/>
    <col min="5" max="5" width="4.2890625" customWidth="1"/>
    <col min="6" max="6" width="10.05078125" customWidth="1"/>
    <col min="7" max="26" width="14.33984375" customWidth="1"/>
  </cols>
  <sheetData>
    <row r="1" spans="1:5" ht="22.5" customHeight="1" x14ac:dyDescent="0.15">
      <c r="A1" s="157" t="s">
        <v>1010</v>
      </c>
      <c r="B1" s="127"/>
      <c r="C1" s="127"/>
      <c r="D1" s="127"/>
      <c r="E1" s="128"/>
    </row>
    <row r="2" spans="1:5" ht="16.5" customHeight="1" x14ac:dyDescent="0.15">
      <c r="A2" s="150" t="s">
        <v>1011</v>
      </c>
      <c r="B2" s="127"/>
      <c r="C2" s="127"/>
      <c r="D2" s="127"/>
      <c r="E2" s="128"/>
    </row>
    <row r="3" spans="1:5" ht="15" customHeight="1" x14ac:dyDescent="0.15">
      <c r="A3" s="151" t="s">
        <v>42</v>
      </c>
      <c r="B3" s="127"/>
      <c r="C3" s="127"/>
      <c r="D3" s="127"/>
      <c r="E3" s="128"/>
    </row>
    <row r="6" spans="1:5" ht="19.5" customHeight="1" x14ac:dyDescent="0.15">
      <c r="B6" s="18" t="s">
        <v>1012</v>
      </c>
      <c r="C6" s="18"/>
      <c r="D6" s="18" t="s">
        <v>1013</v>
      </c>
    </row>
    <row r="7" spans="1:5" ht="15" customHeight="1" x14ac:dyDescent="0.15">
      <c r="B7" s="116" t="s">
        <v>1014</v>
      </c>
      <c r="C7" s="116"/>
      <c r="D7" s="116" t="s">
        <v>1015</v>
      </c>
    </row>
    <row r="8" spans="1:5" ht="15" customHeight="1" x14ac:dyDescent="0.15">
      <c r="B8" s="117" t="s">
        <v>1016</v>
      </c>
      <c r="C8" s="117"/>
      <c r="D8" s="117" t="s">
        <v>1017</v>
      </c>
    </row>
    <row r="9" spans="1:5" ht="15" customHeight="1" x14ac:dyDescent="0.15">
      <c r="B9" s="116" t="s">
        <v>1018</v>
      </c>
      <c r="C9" s="116"/>
      <c r="D9" s="116"/>
    </row>
    <row r="10" spans="1:5" ht="15" customHeight="1" x14ac:dyDescent="0.15">
      <c r="B10" s="117" t="s">
        <v>1019</v>
      </c>
      <c r="C10" s="117"/>
      <c r="D10" s="117"/>
    </row>
    <row r="11" spans="1:5" ht="15" customHeight="1" x14ac:dyDescent="0.15">
      <c r="B11" s="116" t="s">
        <v>1020</v>
      </c>
      <c r="C11" s="116"/>
      <c r="D11" s="116"/>
    </row>
    <row r="12" spans="1:5" ht="15" customHeight="1" x14ac:dyDescent="0.15">
      <c r="B12" s="117" t="s">
        <v>1021</v>
      </c>
      <c r="C12" s="117"/>
      <c r="D12" s="117"/>
    </row>
    <row r="13" spans="1:5" ht="15" customHeight="1" x14ac:dyDescent="0.15">
      <c r="B13" s="116" t="s">
        <v>1022</v>
      </c>
      <c r="C13" s="116"/>
      <c r="D13" s="116"/>
    </row>
    <row r="14" spans="1:5" ht="15" customHeight="1" x14ac:dyDescent="0.15">
      <c r="B14" s="117" t="s">
        <v>1023</v>
      </c>
      <c r="C14" s="117"/>
      <c r="D14" s="117"/>
    </row>
    <row r="15" spans="1:5" ht="15" customHeight="1" x14ac:dyDescent="0.15">
      <c r="B15" s="116" t="s">
        <v>1024</v>
      </c>
      <c r="C15" s="116"/>
      <c r="D15" s="116"/>
    </row>
    <row r="16" spans="1:5" ht="15" customHeight="1" x14ac:dyDescent="0.15">
      <c r="B16" s="117" t="s">
        <v>1025</v>
      </c>
      <c r="C16" s="117"/>
      <c r="D16" s="117"/>
    </row>
    <row r="17" spans="2:4" ht="15" customHeight="1" x14ac:dyDescent="0.15">
      <c r="B17" s="116" t="s">
        <v>1026</v>
      </c>
      <c r="C17" s="116"/>
      <c r="D17" s="116"/>
    </row>
    <row r="18" spans="2:4" ht="15" customHeight="1" x14ac:dyDescent="0.15">
      <c r="B18" s="117" t="s">
        <v>1027</v>
      </c>
      <c r="C18" s="117"/>
      <c r="D18" s="117"/>
    </row>
    <row r="19" spans="2:4" ht="15" customHeight="1" x14ac:dyDescent="0.15">
      <c r="B19" s="116" t="s">
        <v>1028</v>
      </c>
      <c r="C19" s="116"/>
      <c r="D19" s="116"/>
    </row>
    <row r="20" spans="2:4" ht="15" customHeight="1" x14ac:dyDescent="0.15">
      <c r="B20" s="117" t="s">
        <v>1029</v>
      </c>
      <c r="C20" s="117"/>
      <c r="D20" s="117"/>
    </row>
    <row r="21" spans="2:4" ht="15" customHeight="1" x14ac:dyDescent="0.15">
      <c r="B21" s="116" t="s">
        <v>1030</v>
      </c>
      <c r="C21" s="116"/>
      <c r="D21" s="116"/>
    </row>
    <row r="22" spans="2:4" ht="15" customHeight="1" x14ac:dyDescent="0.15">
      <c r="B22" s="117" t="s">
        <v>1031</v>
      </c>
      <c r="C22" s="117"/>
      <c r="D22" s="117"/>
    </row>
    <row r="23" spans="2:4" ht="15" customHeight="1" x14ac:dyDescent="0.15">
      <c r="B23" s="116" t="s">
        <v>1032</v>
      </c>
      <c r="C23" s="116"/>
      <c r="D23" s="116"/>
    </row>
    <row r="24" spans="2:4" ht="15" customHeight="1" x14ac:dyDescent="0.15">
      <c r="B24" s="117" t="s">
        <v>1033</v>
      </c>
      <c r="C24" s="117"/>
      <c r="D24" s="117"/>
    </row>
    <row r="25" spans="2:4" ht="15" customHeight="1" x14ac:dyDescent="0.15">
      <c r="B25" s="116" t="s">
        <v>1034</v>
      </c>
      <c r="C25" s="116"/>
      <c r="D25" s="116"/>
    </row>
    <row r="26" spans="2:4" ht="15" customHeight="1" x14ac:dyDescent="0.15">
      <c r="B26" s="117" t="s">
        <v>1035</v>
      </c>
      <c r="C26" s="117"/>
      <c r="D26" s="117"/>
    </row>
    <row r="27" spans="2:4" ht="15" customHeight="1" x14ac:dyDescent="0.15">
      <c r="B27" s="116" t="s">
        <v>1036</v>
      </c>
      <c r="C27" s="116"/>
      <c r="D27" s="116"/>
    </row>
    <row r="28" spans="2:4" ht="15" customHeight="1" x14ac:dyDescent="0.15">
      <c r="B28" s="117" t="s">
        <v>1037</v>
      </c>
      <c r="C28" s="117"/>
      <c r="D28" s="117"/>
    </row>
    <row r="29" spans="2:4" ht="15" customHeight="1" x14ac:dyDescent="0.15">
      <c r="B29" s="116" t="s">
        <v>1038</v>
      </c>
      <c r="C29" s="116"/>
      <c r="D29" s="116"/>
    </row>
    <row r="30" spans="2:4" ht="15" customHeight="1" x14ac:dyDescent="0.15">
      <c r="B30" s="152" t="s">
        <v>1039</v>
      </c>
      <c r="C30" s="153"/>
      <c r="D30" s="154"/>
    </row>
    <row r="31" spans="2:4" ht="15.75" customHeight="1" x14ac:dyDescent="0.15"/>
    <row r="32" spans="2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E1"/>
    <mergeCell ref="A2:E2"/>
    <mergeCell ref="A3:E3"/>
    <mergeCell ref="B30:D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App_Entry</vt:lpstr>
      <vt:lpstr>User_Profile</vt:lpstr>
      <vt:lpstr>Field_Staff</vt:lpstr>
      <vt:lpstr>17 column report</vt:lpstr>
      <vt:lpstr>process_data</vt:lpstr>
      <vt:lpstr>process</vt:lpstr>
      <vt:lpstr>ministry_report</vt:lpstr>
      <vt:lpstr>ministry report</vt:lpstr>
      <vt:lpstr>ইমেইল নির্দেশনা</vt:lpstr>
      <vt:lpstr>GPS_Coordinates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Md</dc:creator>
  <dcterms:created xsi:type="dcterms:W3CDTF">2026-07-17T18:27:11Z</dcterms:created>
</cp:coreProperties>
</file>